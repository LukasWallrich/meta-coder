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haheedazaad/Nextcloud/Active/Object-based CE Meta-Analysis/"/>
    </mc:Choice>
  </mc:AlternateContent>
  <xr:revisionPtr revIDLastSave="0" documentId="13_ncr:1_{828EC9D0-190F-7F43-9027-421502E56913}" xr6:coauthVersionLast="47" xr6:coauthVersionMax="47" xr10:uidLastSave="{00000000-0000-0000-0000-000000000000}"/>
  <bookViews>
    <workbookView xWindow="0" yWindow="680" windowWidth="25600" windowHeight="174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0" i="1" l="1"/>
  <c r="BA9" i="1"/>
  <c r="BA8" i="1"/>
  <c r="BA7" i="1"/>
  <c r="BA6" i="1"/>
  <c r="BA5" i="1"/>
  <c r="G126" i="1"/>
</calcChain>
</file>

<file path=xl/sharedStrings.xml><?xml version="1.0" encoding="utf-8"?>
<sst xmlns="http://schemas.openxmlformats.org/spreadsheetml/2006/main" count="2515" uniqueCount="358">
  <si>
    <t>Filename</t>
  </si>
  <si>
    <t>Sample_ID</t>
  </si>
  <si>
    <t>Publication.status</t>
  </si>
  <si>
    <t>Age</t>
  </si>
  <si>
    <t>Gender</t>
  </si>
  <si>
    <t>Handedness</t>
  </si>
  <si>
    <t>Response.mode</t>
  </si>
  <si>
    <t>Between.key.distance</t>
  </si>
  <si>
    <t>Crossed.hands</t>
  </si>
  <si>
    <t>Viewing.distance</t>
  </si>
  <si>
    <t>Hand_screen.distance</t>
  </si>
  <si>
    <t>Speed.instruction</t>
  </si>
  <si>
    <t>Accuracy.instruction</t>
  </si>
  <si>
    <t>Orientation.instruction</t>
  </si>
  <si>
    <t>Functional.instruction</t>
  </si>
  <si>
    <t>Decision.type</t>
  </si>
  <si>
    <t>Decision.target</t>
  </si>
  <si>
    <t>Mapping</t>
  </si>
  <si>
    <t>Practice.trials</t>
  </si>
  <si>
    <t>Blocks</t>
  </si>
  <si>
    <t>Trials.per.block</t>
  </si>
  <si>
    <t>Total.trials</t>
  </si>
  <si>
    <t>Stimulus.type</t>
  </si>
  <si>
    <t>Number.of.stimuli</t>
  </si>
  <si>
    <t>Broken.objects</t>
  </si>
  <si>
    <t>Presentation</t>
  </si>
  <si>
    <t>Centrality</t>
  </si>
  <si>
    <t>Fixation.duration</t>
  </si>
  <si>
    <t>Intertrial.time</t>
  </si>
  <si>
    <t>Presentation.time</t>
  </si>
  <si>
    <t>Response.window</t>
  </si>
  <si>
    <t>Mask</t>
  </si>
  <si>
    <t>Response.period</t>
  </si>
  <si>
    <t>Trial.feedback</t>
  </si>
  <si>
    <t>Feedback.duration</t>
  </si>
  <si>
    <t>N</t>
  </si>
  <si>
    <t>d</t>
  </si>
  <si>
    <t>r</t>
  </si>
  <si>
    <t>Ambrosecchia et al. (2015)</t>
  </si>
  <si>
    <t>1_1_A</t>
  </si>
  <si>
    <t>Published</t>
  </si>
  <si>
    <t>Between-hand</t>
  </si>
  <si>
    <t>Uncrossed</t>
  </si>
  <si>
    <t>No</t>
  </si>
  <si>
    <t>Upright/inverted</t>
  </si>
  <si>
    <t>Object</t>
  </si>
  <si>
    <t>One</t>
  </si>
  <si>
    <t>Photographs</t>
  </si>
  <si>
    <t>Central</t>
  </si>
  <si>
    <t>During presentation</t>
  </si>
  <si>
    <t>Yes</t>
  </si>
  <si>
    <t>1_2_B</t>
  </si>
  <si>
    <t>90_1_A</t>
  </si>
  <si>
    <t>Unpublished</t>
  </si>
  <si>
    <t>Object-centred</t>
  </si>
  <si>
    <t>91_1_A</t>
  </si>
  <si>
    <t>Colour</t>
  </si>
  <si>
    <t>91_1_B</t>
  </si>
  <si>
    <t>92_1_A</t>
  </si>
  <si>
    <t>92_1_C</t>
  </si>
  <si>
    <t>92_1_B</t>
  </si>
  <si>
    <t>Base-centred</t>
  </si>
  <si>
    <t>92_1_D</t>
  </si>
  <si>
    <t>Bub &amp; Masson (2010)</t>
  </si>
  <si>
    <t>5_1_A</t>
  </si>
  <si>
    <t>5_1_B</t>
  </si>
  <si>
    <t>5_2_A</t>
  </si>
  <si>
    <t>5_2_B</t>
  </si>
  <si>
    <t>Cho &amp; Proctor (2010)</t>
  </si>
  <si>
    <t>18_2_B</t>
  </si>
  <si>
    <t>Within-hand</t>
  </si>
  <si>
    <t>Both</t>
  </si>
  <si>
    <t>18_4_B</t>
  </si>
  <si>
    <t>18_5_B</t>
  </si>
  <si>
    <t>18_1_A</t>
  </si>
  <si>
    <t>18_3_A</t>
  </si>
  <si>
    <t>18_5_A</t>
  </si>
  <si>
    <t>Cho &amp; Proctor (2011)</t>
  </si>
  <si>
    <t>45_2_B</t>
  </si>
  <si>
    <t>45_4_D</t>
  </si>
  <si>
    <t>45_6_B</t>
  </si>
  <si>
    <t>45_8_D</t>
  </si>
  <si>
    <t>45_1_A</t>
  </si>
  <si>
    <t>45_3_C</t>
  </si>
  <si>
    <t>45_5_A</t>
  </si>
  <si>
    <t>45_7_C</t>
  </si>
  <si>
    <t>45_9_A</t>
  </si>
  <si>
    <t>45_10_B</t>
  </si>
  <si>
    <t>Cho &amp; Proctor (2013)</t>
  </si>
  <si>
    <t>41_1</t>
  </si>
  <si>
    <t>41_1_A</t>
  </si>
  <si>
    <t>Function/form</t>
  </si>
  <si>
    <t>41_2</t>
  </si>
  <si>
    <t>41_2_C</t>
  </si>
  <si>
    <t>41_3</t>
  </si>
  <si>
    <t>41_3_A</t>
  </si>
  <si>
    <t>41_4</t>
  </si>
  <si>
    <t>41_4_C</t>
  </si>
  <si>
    <t>41_5</t>
  </si>
  <si>
    <t>41_5_A</t>
  </si>
  <si>
    <t>41_10</t>
  </si>
  <si>
    <t>41_10_A</t>
  </si>
  <si>
    <t>Dagaev et al. (2017)</t>
  </si>
  <si>
    <t>52_1</t>
  </si>
  <si>
    <t>52_1_A</t>
  </si>
  <si>
    <t>52_2</t>
  </si>
  <si>
    <t>52_2_A</t>
  </si>
  <si>
    <t>Galpin et al. (2011)</t>
  </si>
  <si>
    <t>17_1</t>
  </si>
  <si>
    <t>17_1_A</t>
  </si>
  <si>
    <t>Goslin et al. (2012)</t>
  </si>
  <si>
    <t>53_1</t>
  </si>
  <si>
    <t>53_1_A</t>
  </si>
  <si>
    <t>Iani et al. (2018)</t>
  </si>
  <si>
    <t>61_1</t>
  </si>
  <si>
    <t>61_1_A</t>
  </si>
  <si>
    <t>Janyan &amp; Slavcheva (2012)</t>
  </si>
  <si>
    <t>4_1</t>
  </si>
  <si>
    <t>4_1_A</t>
  </si>
  <si>
    <t>Other</t>
  </si>
  <si>
    <t>Illustrations</t>
  </si>
  <si>
    <t>4_1_B</t>
  </si>
  <si>
    <t>Crossed</t>
  </si>
  <si>
    <t>Kostov &amp; Janyan (2012)</t>
  </si>
  <si>
    <t>3_1</t>
  </si>
  <si>
    <t>3_1_A</t>
  </si>
  <si>
    <t>After presentation</t>
  </si>
  <si>
    <t>Kostov &amp; Janyan (2015)</t>
  </si>
  <si>
    <t>6_3</t>
  </si>
  <si>
    <t>6_3_A</t>
  </si>
  <si>
    <t>Kostov &amp; Janyan (2018)</t>
  </si>
  <si>
    <t>66_1</t>
  </si>
  <si>
    <t>66_1_A</t>
  </si>
  <si>
    <t>66_1_B</t>
  </si>
  <si>
    <t>Pixel-centred</t>
  </si>
  <si>
    <t>66_2</t>
  </si>
  <si>
    <t>66_2_A</t>
  </si>
  <si>
    <t>66_2_B</t>
  </si>
  <si>
    <t>66_3</t>
  </si>
  <si>
    <t>66_3_A</t>
  </si>
  <si>
    <t>66_3_B</t>
  </si>
  <si>
    <t>66_4</t>
  </si>
  <si>
    <t>66_4_A</t>
  </si>
  <si>
    <t>66_4_B</t>
  </si>
  <si>
    <t>Kume et al. (2016)</t>
  </si>
  <si>
    <t>39_2</t>
  </si>
  <si>
    <t>39_2_A</t>
  </si>
  <si>
    <t>Lien et al. (2013)</t>
  </si>
  <si>
    <t>2_1</t>
  </si>
  <si>
    <t>2_1_A</t>
  </si>
  <si>
    <t>2_2</t>
  </si>
  <si>
    <t>2_2_A</t>
  </si>
  <si>
    <t>2_2_B</t>
  </si>
  <si>
    <t>Peripheral</t>
  </si>
  <si>
    <t>2_3</t>
  </si>
  <si>
    <t>2_3_A</t>
  </si>
  <si>
    <t>2_3_B</t>
  </si>
  <si>
    <t>Lien et al. (2014)</t>
  </si>
  <si>
    <t>20_1</t>
  </si>
  <si>
    <t>20_1_B</t>
  </si>
  <si>
    <t>20_1_A</t>
  </si>
  <si>
    <t>20_2</t>
  </si>
  <si>
    <t>20_2_B</t>
  </si>
  <si>
    <t>20_2_A</t>
  </si>
  <si>
    <t>Matheson et al. (2014)</t>
  </si>
  <si>
    <t>29_1</t>
  </si>
  <si>
    <t>29_1_A</t>
  </si>
  <si>
    <t>29_2</t>
  </si>
  <si>
    <t>29_2_A</t>
  </si>
  <si>
    <t>29_4</t>
  </si>
  <si>
    <t>29_4_A</t>
  </si>
  <si>
    <t>Murphy et al. (2012)</t>
  </si>
  <si>
    <t>51_1</t>
  </si>
  <si>
    <t>51_1_A</t>
  </si>
  <si>
    <t>Ottoboni et al. (2013)</t>
  </si>
  <si>
    <t>38_1</t>
  </si>
  <si>
    <t>38_1_A</t>
  </si>
  <si>
    <t>Pappas &amp; Mack (2008)</t>
  </si>
  <si>
    <t>31_1</t>
  </si>
  <si>
    <t>31_1_A</t>
  </si>
  <si>
    <t>Pappas (2014)</t>
  </si>
  <si>
    <t>10_1</t>
  </si>
  <si>
    <t>10_1_B</t>
  </si>
  <si>
    <t>10_2</t>
  </si>
  <si>
    <t>10_2_B</t>
  </si>
  <si>
    <t>10_3</t>
  </si>
  <si>
    <t>10_3_A</t>
  </si>
  <si>
    <t>10_3_B</t>
  </si>
  <si>
    <t>10_1_A</t>
  </si>
  <si>
    <t>10_2_A</t>
  </si>
  <si>
    <t>10_4</t>
  </si>
  <si>
    <t>10_4_A</t>
  </si>
  <si>
    <t>10_4_B</t>
  </si>
  <si>
    <t>Pellicano et al. (2010)</t>
  </si>
  <si>
    <t>43_1</t>
  </si>
  <si>
    <t>43_1_A</t>
  </si>
  <si>
    <t>43_2</t>
  </si>
  <si>
    <t>43_2_A</t>
  </si>
  <si>
    <t>Pellicano et al. (2018)</t>
  </si>
  <si>
    <t>64_1</t>
  </si>
  <si>
    <t>64_1_A</t>
  </si>
  <si>
    <t>64_2</t>
  </si>
  <si>
    <t>64_2_A</t>
  </si>
  <si>
    <t>64_3</t>
  </si>
  <si>
    <t>64_3_A</t>
  </si>
  <si>
    <t>Phillips &amp; Ward (2002)</t>
  </si>
  <si>
    <t>7_1</t>
  </si>
  <si>
    <t>7_1_A</t>
  </si>
  <si>
    <t>7_2</t>
  </si>
  <si>
    <t>7_2_A</t>
  </si>
  <si>
    <t>Proctor et al. (2017)</t>
  </si>
  <si>
    <t>54_1</t>
  </si>
  <si>
    <t>54_1_C</t>
  </si>
  <si>
    <t>54_1_D</t>
  </si>
  <si>
    <t>54_2</t>
  </si>
  <si>
    <t>54_2_G</t>
  </si>
  <si>
    <t>54_2_H</t>
  </si>
  <si>
    <t>54_3</t>
  </si>
  <si>
    <t>54_3_C</t>
  </si>
  <si>
    <t>54_3_D</t>
  </si>
  <si>
    <t>54_4</t>
  </si>
  <si>
    <t>54_4_G</t>
  </si>
  <si>
    <t>54_4_H</t>
  </si>
  <si>
    <t>54_1_A</t>
  </si>
  <si>
    <t>54_1_B</t>
  </si>
  <si>
    <t>54_2_E</t>
  </si>
  <si>
    <t>54_2_F</t>
  </si>
  <si>
    <t>54_3_A</t>
  </si>
  <si>
    <t>54_3_B</t>
  </si>
  <si>
    <t>54_4_E</t>
  </si>
  <si>
    <t>54_4_F</t>
  </si>
  <si>
    <t>Saccone et al. (2016)</t>
  </si>
  <si>
    <t>9_1</t>
  </si>
  <si>
    <t>9_1_A</t>
  </si>
  <si>
    <t>9_2</t>
  </si>
  <si>
    <t>9_2_A</t>
  </si>
  <si>
    <t>9_3</t>
  </si>
  <si>
    <t>9_3_A</t>
  </si>
  <si>
    <t>Sevos et al. (2013)</t>
  </si>
  <si>
    <t>49_1</t>
  </si>
  <si>
    <t>49_1_A</t>
  </si>
  <si>
    <t>Sevos et al. (2016)</t>
  </si>
  <si>
    <t>50_1</t>
  </si>
  <si>
    <t>50_1_A</t>
  </si>
  <si>
    <t>50_2</t>
  </si>
  <si>
    <t>50_2_A</t>
  </si>
  <si>
    <t>Song et al. (2014)</t>
  </si>
  <si>
    <t>14_1</t>
  </si>
  <si>
    <t>14_1_A</t>
  </si>
  <si>
    <t>14_2</t>
  </si>
  <si>
    <t>14_2_A</t>
  </si>
  <si>
    <t>14_3</t>
  </si>
  <si>
    <t>14_3_A</t>
  </si>
  <si>
    <t>Symes et al. (2005)</t>
  </si>
  <si>
    <t>21_1</t>
  </si>
  <si>
    <t>21_1_A</t>
  </si>
  <si>
    <t>21_2</t>
  </si>
  <si>
    <t>21_2_A</t>
  </si>
  <si>
    <t>Tipper et al. (2006)</t>
  </si>
  <si>
    <t>12_1</t>
  </si>
  <si>
    <t>12_1_A</t>
  </si>
  <si>
    <t>12_2</t>
  </si>
  <si>
    <t>12_2_A</t>
  </si>
  <si>
    <t>Tucker &amp; Ellis (1998)</t>
  </si>
  <si>
    <t>11_2</t>
  </si>
  <si>
    <t>11_2_A</t>
  </si>
  <si>
    <t>11_1</t>
  </si>
  <si>
    <t>11_1_A</t>
  </si>
  <si>
    <t>Vergilova &amp; Janyan (2012)</t>
  </si>
  <si>
    <t>13_1</t>
  </si>
  <si>
    <t>13_1_A</t>
  </si>
  <si>
    <t>13_1_B</t>
  </si>
  <si>
    <t>Yu et al. (2014)</t>
  </si>
  <si>
    <t>48_1</t>
  </si>
  <si>
    <t>48_1_A</t>
  </si>
  <si>
    <t>48_2</t>
  </si>
  <si>
    <t>48_2_B</t>
  </si>
  <si>
    <t>48_5</t>
  </si>
  <si>
    <t>48_5_A</t>
  </si>
  <si>
    <t>48_6</t>
  </si>
  <si>
    <t>48_6_B</t>
  </si>
  <si>
    <t>Zhao (2016)</t>
  </si>
  <si>
    <t>32_1</t>
  </si>
  <si>
    <t>32_1_A</t>
  </si>
  <si>
    <t>Zhao (2018)</t>
  </si>
  <si>
    <t>65_1</t>
  </si>
  <si>
    <t>65_1_A</t>
  </si>
  <si>
    <t>dz_recomputed</t>
  </si>
  <si>
    <t>t</t>
  </si>
  <si>
    <t>F</t>
  </si>
  <si>
    <t>RT_C</t>
  </si>
  <si>
    <t>RT_C_SD</t>
  </si>
  <si>
    <t>RT_IC</t>
  </si>
  <si>
    <t>RT_IC_SD</t>
  </si>
  <si>
    <t>RT_DIFF</t>
  </si>
  <si>
    <t>RT_DIFF_SD</t>
  </si>
  <si>
    <t>RT_DIFF_SE</t>
  </si>
  <si>
    <t>Experiment 1 - in-tact objects</t>
  </si>
  <si>
    <t>Experiment 2 - broken objects</t>
  </si>
  <si>
    <t>Description</t>
  </si>
  <si>
    <t>Study 1 - main effect congruency</t>
  </si>
  <si>
    <t>Experiment 2 - beer mug, 195</t>
  </si>
  <si>
    <t>Experiment 2 - beer mug, 630</t>
  </si>
  <si>
    <t>Experiment 2 - teapot, 195</t>
  </si>
  <si>
    <t>Experiment 2 - teapot, 630</t>
  </si>
  <si>
    <t>Notes</t>
  </si>
  <si>
    <t>RT_C_SE</t>
  </si>
  <si>
    <t>RT_IC_SE</t>
  </si>
  <si>
    <t>Direction</t>
  </si>
  <si>
    <t>Main effect of congruence</t>
  </si>
  <si>
    <t>Main effect of congruence - low load</t>
  </si>
  <si>
    <t>pos</t>
  </si>
  <si>
    <t>Between-hands</t>
  </si>
  <si>
    <t>Within-hands</t>
  </si>
  <si>
    <t>Row_ID</t>
  </si>
  <si>
    <t>Dissertation</t>
  </si>
  <si>
    <t>Two-choice condition</t>
  </si>
  <si>
    <t>Experiment 1 - photographs</t>
  </si>
  <si>
    <t>Experiment 1 - silhouettes</t>
  </si>
  <si>
    <t>Experiment 2 - photographs, object-centred</t>
  </si>
  <si>
    <t>Experiment 2 - silhouettes, object-centred</t>
  </si>
  <si>
    <t>Experiment 2 - photographs, base-centred</t>
  </si>
  <si>
    <t>Experiment 2 - silhouettes, base-centred</t>
  </si>
  <si>
    <t>Azaad &amp; Laham (2020)</t>
  </si>
  <si>
    <t>DOI</t>
  </si>
  <si>
    <t>Experiment 1- object only, upright</t>
  </si>
  <si>
    <t>Experiment 1 - object only, inverted</t>
  </si>
  <si>
    <t>61_1_B</t>
  </si>
  <si>
    <t>Was combined in original dataset, extracted separately here</t>
  </si>
  <si>
    <t>http://dx.doi.org/10.3389/fnhum.2015.00283</t>
  </si>
  <si>
    <t>https://doi.org/10.1007/s00426-018-1004-9</t>
  </si>
  <si>
    <t>https://hdl.handle.net/11343/233907</t>
  </si>
  <si>
    <t>https://doi.org/10.1177/1747021820947374</t>
  </si>
  <si>
    <t>https://doi.org/10.1037/a0017606</t>
  </si>
  <si>
    <t>https://doi.org/10.1037/a0019328</t>
  </si>
  <si>
    <t>Appears to be author-shared data</t>
  </si>
  <si>
    <t>Experiment 1 - within hands, frying pan</t>
  </si>
  <si>
    <t>Experiment 1 - between hands, frying pan</t>
  </si>
  <si>
    <t>Paper_ID</t>
  </si>
  <si>
    <t>Old_Effect_ID</t>
  </si>
  <si>
    <t>Experiment 2 - between hands, frying pan</t>
  </si>
  <si>
    <t>Experiment 2 - within hands, frying pan</t>
  </si>
  <si>
    <t>Experiment 3 - between hands</t>
  </si>
  <si>
    <t>Experiment 2 - within hands</t>
  </si>
  <si>
    <t>Azaad &amp; Laham (2018)</t>
  </si>
  <si>
    <t>Appear to be author-shared SDs</t>
  </si>
  <si>
    <t>Experiment 1 - green/red, between</t>
  </si>
  <si>
    <t>Experiment 1 - green/red, within</t>
  </si>
  <si>
    <t>Experiment 1 - upright/inverted, between</t>
  </si>
  <si>
    <t>Experiment 1 - upright/inverted, within</t>
  </si>
  <si>
    <t>Experiment 4 - base-centred</t>
  </si>
  <si>
    <t>Experiment 4 - handle-centred</t>
  </si>
  <si>
    <t>Experiment 3 - green/red, between</t>
  </si>
  <si>
    <t>Experiment 3 - green/red, within</t>
  </si>
  <si>
    <t>Experiment 3 - upright/inverted, between</t>
  </si>
  <si>
    <t>Experiment 3 - upright/inverted, within</t>
  </si>
  <si>
    <t>Silhouettes</t>
  </si>
  <si>
    <t>https://doi.org/10.1037/a0021934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</si>
</sst>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58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0D301-760E-754E-AB10-166C315A3ED6}" name="Table1" displayName="Table1" ref="A1:BE124" totalsRowShown="0" dataDxfId="57">
  <autoFilter ref="A1:BE124" xr:uid="{6B30D301-760E-754E-AB10-166C315A3ED6}"/>
  <tableColumns count="57">
    <tableColumn id="1" xr3:uid="{05F99E2F-1EF3-9D4D-9323-9FC9630A01C4}" name="Filename" dataDxfId="56"/>
    <tableColumn id="55" xr3:uid="{0EE865B2-2256-3F45-B64A-C68E089B52EE}" name="Row_ID" dataDxfId="55"/>
    <tableColumn id="59" xr3:uid="{DFF0C483-9EAF-E54B-81E2-8A1571D3379D}" name="Paper_ID" dataDxfId="54"/>
    <tableColumn id="2" xr3:uid="{C964D4C6-6E7F-5148-9B2F-7B05255421E6}" name="Sample_ID" dataDxfId="53"/>
    <tableColumn id="3" xr3:uid="{938F25EF-4456-7F4E-B329-61EE8401E9C3}" name="Old_Effect_ID" dataDxfId="52"/>
    <tableColumn id="58" xr3:uid="{89E9A8DE-01F1-1146-A85F-A435E9792801}" name="DOI" dataDxfId="51"/>
    <tableColumn id="41" xr3:uid="{39241AAC-D20F-C54C-B4EF-632A1C474473}" name="Description" dataDxfId="50"/>
    <tableColumn id="4" xr3:uid="{074D53C9-3912-3B47-8212-6D9F0BDACE3B}" name="Publication.status" dataDxfId="49"/>
    <tableColumn id="5" xr3:uid="{5121EBC1-ED64-4741-8A23-9B660B344AC7}" name="Age" dataDxfId="48"/>
    <tableColumn id="6" xr3:uid="{2B874741-D2FE-D94B-B2F8-49E1E596A97C}" name="Gender" dataDxfId="47"/>
    <tableColumn id="7" xr3:uid="{E8E2B8C9-9A77-9E4F-9055-10D41D0CD860}" name="Handedness" dataDxfId="46"/>
    <tableColumn id="8" xr3:uid="{82F4F1AC-8699-BD46-B51E-88F0237A635A}" name="Response.mode" dataDxfId="45"/>
    <tableColumn id="9" xr3:uid="{D5293803-FD4C-EA48-82A9-06E45CC3DB9B}" name="Between.key.distance" dataDxfId="44"/>
    <tableColumn id="10" xr3:uid="{14A6A19B-3166-2948-ACF4-3B6F407EC6DB}" name="Crossed.hands" dataDxfId="43"/>
    <tableColumn id="11" xr3:uid="{5552A8B2-42C6-1742-821C-88E47DD80511}" name="Viewing.distance" dataDxfId="42"/>
    <tableColumn id="12" xr3:uid="{8F09125D-C6E5-3C43-8F63-498C672C9301}" name="Hand_screen.distance" dataDxfId="41"/>
    <tableColumn id="13" xr3:uid="{9CFC86F6-6B7A-3F4A-95D1-0F36C7E57E56}" name="Speed.instruction" dataDxfId="40"/>
    <tableColumn id="14" xr3:uid="{3B91907F-020C-204F-9687-85F14A085843}" name="Accuracy.instruction" dataDxfId="39"/>
    <tableColumn id="15" xr3:uid="{3294CE21-BDC5-E24A-BF62-E8E63DB483E3}" name="Orientation.instruction" dataDxfId="38"/>
    <tableColumn id="16" xr3:uid="{595FC5E3-6A86-7C47-90BB-4A17503CF7E9}" name="Functional.instruction" dataDxfId="37"/>
    <tableColumn id="17" xr3:uid="{4FADF7F6-21A3-BF4D-9AAA-75C307769E1B}" name="Decision.type" dataDxfId="36"/>
    <tableColumn id="18" xr3:uid="{9CCDD8BB-E135-4A48-9A90-35F18EB18219}" name="Decision.target" dataDxfId="35"/>
    <tableColumn id="19" xr3:uid="{D449B4D1-C7BD-3049-B2C3-57D9ADC82BED}" name="Mapping" dataDxfId="34"/>
    <tableColumn id="20" xr3:uid="{92AB42A9-14CA-B44D-8FBC-5F32BA33DDFD}" name="Practice.trials" dataDxfId="33"/>
    <tableColumn id="21" xr3:uid="{FC5F76E8-4A98-2B42-89AA-DA14C66BCA85}" name="Blocks" dataDxfId="32"/>
    <tableColumn id="22" xr3:uid="{476BB69C-F408-E942-98A4-6183A79148C1}" name="Trials.per.block" dataDxfId="31"/>
    <tableColumn id="23" xr3:uid="{E2EFA43E-8781-7B44-B70E-C73A3022AD81}" name="Total.trials" dataDxfId="30"/>
    <tableColumn id="24" xr3:uid="{00332C5B-54F3-5E4D-8EFB-AFC905C53BFA}" name="Stimulus.type" dataDxfId="29"/>
    <tableColumn id="25" xr3:uid="{BF379CA4-AC7F-2D4B-BF7C-B49C726E03B4}" name="Number.of.stimuli" dataDxfId="28"/>
    <tableColumn id="26" xr3:uid="{75E6AC03-C2F8-5746-B0CF-A2F2028881B1}" name="Broken.objects" dataDxfId="27"/>
    <tableColumn id="27" xr3:uid="{94CA69F9-80A5-1C40-8A33-CB0871912E18}" name="Presentation" dataDxfId="26"/>
    <tableColumn id="28" xr3:uid="{54F815E8-2D1E-9A4B-AE48-31F912183295}" name="Centrality" dataDxfId="25"/>
    <tableColumn id="29" xr3:uid="{4A7A6DD1-CB98-A64B-9E37-2DA45CEC322C}" name="Fixation.duration" dataDxfId="24"/>
    <tableColumn id="30" xr3:uid="{08B4D526-32AB-0E41-8AB5-038F80C88551}" name="Intertrial.time" dataDxfId="23"/>
    <tableColumn id="31" xr3:uid="{190C6B4F-7D36-AB4D-92DE-63352567AE73}" name="Presentation.time" dataDxfId="22"/>
    <tableColumn id="32" xr3:uid="{8D574807-6D7E-584D-B01C-28661F851F1B}" name="Response.window" dataDxfId="21"/>
    <tableColumn id="33" xr3:uid="{5071FA53-E39D-3C46-BB06-507750589546}" name="Mask" dataDxfId="20"/>
    <tableColumn id="34" xr3:uid="{86B1BD47-9C30-0146-B983-3E08F878B040}" name="Response.period" dataDxfId="19"/>
    <tableColumn id="35" xr3:uid="{4BA9DDE5-5A24-3A46-968B-344690A77582}" name="Trial.feedback" dataDxfId="18"/>
    <tableColumn id="36" xr3:uid="{F73FD07F-6B81-0A48-B3E0-1D0C506BFD53}" name="Feedback.duration" dataDxfId="17"/>
    <tableColumn id="37" xr3:uid="{7AC83292-6D1D-CA4F-853F-58E001384993}" name="N" dataDxfId="16"/>
    <tableColumn id="38" xr3:uid="{500DD0A3-AFE6-9546-AECD-56A2A1F10714}" name="d" dataDxfId="15"/>
    <tableColumn id="39" xr3:uid="{41CF65C0-D31F-0140-AA2C-8818AE183E8F}" name="r" dataDxfId="14"/>
    <tableColumn id="40" xr3:uid="{38C995C4-710A-2745-87EF-89C096EBBA49}" name="dz_recomputed" dataDxfId="13"/>
    <tableColumn id="42" xr3:uid="{71204608-6100-1C45-A8D8-F2FF3EDE1043}" name="t" dataDxfId="12"/>
    <tableColumn id="43" xr3:uid="{62E2C6A4-06E7-ED44-8A0D-F81827A31481}" name="F" dataDxfId="11"/>
    <tableColumn id="44" xr3:uid="{859B1645-B2E4-3C4C-AE64-B7569D1D5309}" name="RT_C" dataDxfId="10"/>
    <tableColumn id="45" xr3:uid="{E638E6D6-8E92-A548-99B8-C68B31F861FB}" name="RT_C_SD" dataDxfId="9"/>
    <tableColumn id="52" xr3:uid="{214279EF-936E-EC47-946F-EAFBA9C593C8}" name="RT_C_SE" dataDxfId="8"/>
    <tableColumn id="46" xr3:uid="{7B3BEE81-0C3C-2444-BE75-3CECBD58C807}" name="RT_IC" dataDxfId="7"/>
    <tableColumn id="47" xr3:uid="{0FD0E216-5278-AB4D-BA60-212CCFD0F26D}" name="RT_IC_SD" dataDxfId="6"/>
    <tableColumn id="53" xr3:uid="{F8DFE1BF-74E1-644A-8ED3-DE30BE3D950A}" name="RT_IC_SE" dataDxfId="5"/>
    <tableColumn id="48" xr3:uid="{56F8FB50-804E-C248-9FA6-8B684D163845}" name="RT_DIFF" dataDxfId="4"/>
    <tableColumn id="49" xr3:uid="{17A11918-592F-1549-9A62-8DBAB3C80ECB}" name="RT_DIFF_SD" dataDxfId="3"/>
    <tableColumn id="50" xr3:uid="{C97F6383-AE68-0D4D-B916-E945FD6FE19E}" name="RT_DIFF_SE" dataDxfId="2"/>
    <tableColumn id="54" xr3:uid="{AE3C2885-FF47-6744-8246-96760BD779B9}" name="Direction" dataDxfId="1"/>
    <tableColumn id="51" xr3:uid="{D3C58444-2F34-7D42-B121-77B01AAECDA8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26"/>
  <sheetViews>
    <sheetView tabSelected="1" workbookViewId="0">
      <pane xSplit="7" ySplit="1" topLeftCell="H2" activePane="bottomRight" state="frozen"/>
      <selection pane="topRight" activeCell="E1" sqref="E1"/>
      <selection pane="bottomLeft" activeCell="A2" sqref="A2"/>
      <selection pane="bottomRight" activeCell="F14" sqref="F14"/>
    </sheetView>
  </sheetViews>
  <sheetFormatPr baseColWidth="10" defaultRowHeight="15" x14ac:dyDescent="0.2"/>
  <cols>
    <col min="1" max="1" width="30.83203125" customWidth="1"/>
    <col min="2" max="2" width="9.5" customWidth="1"/>
    <col min="3" max="3" width="10.33203125" customWidth="1"/>
    <col min="4" max="4" width="10.6640625" customWidth="1"/>
    <col min="6" max="6" width="23.1640625" customWidth="1"/>
    <col min="7" max="7" width="26" customWidth="1"/>
    <col min="8" max="8" width="17.33203125" customWidth="1"/>
    <col min="11" max="11" width="12.83203125" customWidth="1"/>
    <col min="12" max="12" width="15.83203125" customWidth="1"/>
    <col min="13" max="13" width="20.6640625" customWidth="1"/>
    <col min="14" max="14" width="14.5" customWidth="1"/>
    <col min="15" max="15" width="16.83203125" customWidth="1"/>
    <col min="16" max="16" width="20.5" customWidth="1"/>
    <col min="17" max="17" width="17.33203125" customWidth="1"/>
    <col min="18" max="18" width="19.5" customWidth="1"/>
    <col min="19" max="19" width="21.5" customWidth="1"/>
    <col min="20" max="20" width="20.6640625" customWidth="1"/>
    <col min="21" max="21" width="14.1640625" customWidth="1"/>
    <col min="22" max="22" width="15.33203125" customWidth="1"/>
    <col min="24" max="24" width="14.1640625" customWidth="1"/>
    <col min="26" max="26" width="15.33203125" customWidth="1"/>
    <col min="27" max="27" width="11.6640625" customWidth="1"/>
    <col min="28" max="28" width="14.1640625" customWidth="1"/>
    <col min="29" max="29" width="17.6640625" customWidth="1"/>
    <col min="30" max="30" width="15.1640625" customWidth="1"/>
    <col min="31" max="31" width="13.5" customWidth="1"/>
    <col min="32" max="32" width="11.1640625" customWidth="1"/>
    <col min="33" max="33" width="16.83203125" customWidth="1"/>
    <col min="34" max="34" width="14.6640625" customWidth="1"/>
    <col min="35" max="35" width="17.6640625" customWidth="1"/>
    <col min="36" max="36" width="17.5" customWidth="1"/>
    <col min="38" max="38" width="16.5" customWidth="1"/>
    <col min="39" max="39" width="14.33203125" customWidth="1"/>
    <col min="40" max="40" width="18" customWidth="1"/>
    <col min="44" max="44" width="11.1640625" customWidth="1"/>
    <col min="54" max="54" width="12.83203125" customWidth="1"/>
    <col min="55" max="56" width="14.5" customWidth="1"/>
    <col min="57" max="57" width="20.33203125" customWidth="1"/>
  </cols>
  <sheetData>
    <row r="1" spans="1:57" x14ac:dyDescent="0.2">
      <c r="A1" t="s">
        <v>0</v>
      </c>
      <c r="B1" t="s">
        <v>314</v>
      </c>
      <c r="C1" t="s">
        <v>338</v>
      </c>
      <c r="D1" t="s">
        <v>1</v>
      </c>
      <c r="E1" t="s">
        <v>339</v>
      </c>
      <c r="F1" t="s">
        <v>324</v>
      </c>
      <c r="G1" t="s">
        <v>299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287</v>
      </c>
      <c r="AS1" t="s">
        <v>288</v>
      </c>
      <c r="AT1" t="s">
        <v>289</v>
      </c>
      <c r="AU1" t="s">
        <v>290</v>
      </c>
      <c r="AV1" t="s">
        <v>291</v>
      </c>
      <c r="AW1" t="s">
        <v>306</v>
      </c>
      <c r="AX1" t="s">
        <v>292</v>
      </c>
      <c r="AY1" t="s">
        <v>293</v>
      </c>
      <c r="AZ1" t="s">
        <v>307</v>
      </c>
      <c r="BA1" t="s">
        <v>294</v>
      </c>
      <c r="BB1" t="s">
        <v>295</v>
      </c>
      <c r="BC1" t="s">
        <v>296</v>
      </c>
      <c r="BD1" t="s">
        <v>308</v>
      </c>
      <c r="BE1" t="s">
        <v>305</v>
      </c>
    </row>
    <row r="2" spans="1:57" x14ac:dyDescent="0.2">
      <c r="A2" t="s">
        <v>38</v>
      </c>
      <c r="B2">
        <v>1</v>
      </c>
      <c r="C2">
        <v>1</v>
      </c>
      <c r="D2">
        <v>1</v>
      </c>
      <c r="E2" t="s">
        <v>39</v>
      </c>
      <c r="F2" t="s">
        <v>329</v>
      </c>
      <c r="G2" t="s">
        <v>297</v>
      </c>
      <c r="H2" t="s">
        <v>40</v>
      </c>
      <c r="I2">
        <v>22.5</v>
      </c>
      <c r="J2">
        <v>0.33300000000000002</v>
      </c>
      <c r="K2">
        <v>1</v>
      </c>
      <c r="L2" t="s">
        <v>41</v>
      </c>
      <c r="M2">
        <v>17.100000000000001</v>
      </c>
      <c r="N2" t="s">
        <v>42</v>
      </c>
      <c r="O2">
        <v>57</v>
      </c>
      <c r="Q2" t="s">
        <v>43</v>
      </c>
      <c r="R2" t="s">
        <v>43</v>
      </c>
      <c r="S2" t="s">
        <v>43</v>
      </c>
      <c r="T2" t="s">
        <v>43</v>
      </c>
      <c r="U2" t="s">
        <v>44</v>
      </c>
      <c r="V2" t="s">
        <v>45</v>
      </c>
      <c r="W2" t="s">
        <v>46</v>
      </c>
      <c r="X2">
        <v>16</v>
      </c>
      <c r="Y2">
        <v>2</v>
      </c>
      <c r="Z2">
        <v>80</v>
      </c>
      <c r="AA2">
        <v>160</v>
      </c>
      <c r="AB2" t="s">
        <v>47</v>
      </c>
      <c r="AC2">
        <v>4</v>
      </c>
      <c r="AD2" t="s">
        <v>43</v>
      </c>
      <c r="AE2" t="s">
        <v>48</v>
      </c>
      <c r="AG2">
        <v>500</v>
      </c>
      <c r="AH2">
        <v>0</v>
      </c>
      <c r="AI2">
        <v>1000</v>
      </c>
      <c r="AJ2">
        <v>1000</v>
      </c>
      <c r="AK2" t="s">
        <v>43</v>
      </c>
      <c r="AL2" t="s">
        <v>49</v>
      </c>
      <c r="AM2" t="s">
        <v>50</v>
      </c>
      <c r="AN2">
        <v>500</v>
      </c>
      <c r="AO2">
        <v>12</v>
      </c>
      <c r="AP2">
        <v>0.57275649276110396</v>
      </c>
      <c r="AQ2">
        <v>0.95679999999999998</v>
      </c>
      <c r="AR2">
        <v>1.9485571585149899</v>
      </c>
    </row>
    <row r="3" spans="1:57" x14ac:dyDescent="0.2">
      <c r="A3" t="s">
        <v>38</v>
      </c>
      <c r="B3">
        <v>2</v>
      </c>
      <c r="C3">
        <v>1</v>
      </c>
      <c r="D3">
        <v>2</v>
      </c>
      <c r="E3" t="s">
        <v>51</v>
      </c>
      <c r="F3" t="s">
        <v>329</v>
      </c>
      <c r="G3" t="s">
        <v>298</v>
      </c>
      <c r="H3" t="s">
        <v>40</v>
      </c>
      <c r="I3">
        <v>22.5</v>
      </c>
      <c r="J3">
        <v>0.33300000000000002</v>
      </c>
      <c r="K3">
        <v>1</v>
      </c>
      <c r="L3" t="s">
        <v>41</v>
      </c>
      <c r="M3">
        <v>17.100000000000001</v>
      </c>
      <c r="N3" t="s">
        <v>42</v>
      </c>
      <c r="O3">
        <v>57</v>
      </c>
      <c r="Q3" t="s">
        <v>43</v>
      </c>
      <c r="R3" t="s">
        <v>43</v>
      </c>
      <c r="S3" t="s">
        <v>43</v>
      </c>
      <c r="T3" t="s">
        <v>43</v>
      </c>
      <c r="U3" t="s">
        <v>44</v>
      </c>
      <c r="V3" t="s">
        <v>45</v>
      </c>
      <c r="W3" t="s">
        <v>46</v>
      </c>
      <c r="X3">
        <v>16</v>
      </c>
      <c r="Y3">
        <v>2</v>
      </c>
      <c r="Z3">
        <v>80</v>
      </c>
      <c r="AA3">
        <v>160</v>
      </c>
      <c r="AB3" t="s">
        <v>47</v>
      </c>
      <c r="AC3">
        <v>4</v>
      </c>
      <c r="AD3" t="s">
        <v>50</v>
      </c>
      <c r="AE3" t="s">
        <v>48</v>
      </c>
      <c r="AG3">
        <v>500</v>
      </c>
      <c r="AH3">
        <v>0</v>
      </c>
      <c r="AI3">
        <v>1000</v>
      </c>
      <c r="AJ3">
        <v>1000</v>
      </c>
      <c r="AK3" t="s">
        <v>43</v>
      </c>
      <c r="AL3" t="s">
        <v>49</v>
      </c>
      <c r="AM3" t="s">
        <v>50</v>
      </c>
      <c r="AN3">
        <v>500</v>
      </c>
      <c r="AO3">
        <v>12</v>
      </c>
      <c r="AP3">
        <v>0.320431020316641</v>
      </c>
      <c r="AQ3">
        <v>0.95679999999999998</v>
      </c>
      <c r="AR3">
        <v>1.09012846879883</v>
      </c>
    </row>
    <row r="4" spans="1:57" x14ac:dyDescent="0.2">
      <c r="A4" t="s">
        <v>344</v>
      </c>
      <c r="B4">
        <v>3</v>
      </c>
      <c r="C4">
        <v>2</v>
      </c>
      <c r="D4">
        <v>1</v>
      </c>
      <c r="E4" t="s">
        <v>52</v>
      </c>
      <c r="F4" t="s">
        <v>331</v>
      </c>
      <c r="G4" t="s">
        <v>316</v>
      </c>
      <c r="H4" t="s">
        <v>53</v>
      </c>
      <c r="I4">
        <v>19.940000000000001</v>
      </c>
      <c r="J4">
        <v>0.35399999999999998</v>
      </c>
      <c r="K4">
        <v>0.93799999999999994</v>
      </c>
      <c r="L4" t="s">
        <v>41</v>
      </c>
      <c r="M4">
        <v>37</v>
      </c>
      <c r="N4" t="s">
        <v>42</v>
      </c>
      <c r="O4">
        <v>55</v>
      </c>
      <c r="P4">
        <v>25</v>
      </c>
      <c r="Q4" t="s">
        <v>50</v>
      </c>
      <c r="R4" t="s">
        <v>50</v>
      </c>
      <c r="S4" t="s">
        <v>43</v>
      </c>
      <c r="T4" t="s">
        <v>43</v>
      </c>
      <c r="U4" t="s">
        <v>44</v>
      </c>
      <c r="V4" t="s">
        <v>45</v>
      </c>
      <c r="W4" t="s">
        <v>46</v>
      </c>
      <c r="X4">
        <v>12</v>
      </c>
      <c r="Y4">
        <v>4</v>
      </c>
      <c r="Z4">
        <v>88</v>
      </c>
      <c r="AA4">
        <v>352</v>
      </c>
      <c r="AB4" t="s">
        <v>47</v>
      </c>
      <c r="AC4">
        <v>22</v>
      </c>
      <c r="AD4" t="s">
        <v>43</v>
      </c>
      <c r="AE4" t="s">
        <v>48</v>
      </c>
      <c r="AF4" t="s">
        <v>54</v>
      </c>
      <c r="AG4">
        <v>400</v>
      </c>
      <c r="AH4">
        <v>200</v>
      </c>
      <c r="AI4">
        <v>2000</v>
      </c>
      <c r="AJ4">
        <v>2000</v>
      </c>
      <c r="AK4" t="s">
        <v>43</v>
      </c>
      <c r="AL4" t="s">
        <v>49</v>
      </c>
      <c r="AM4" t="s">
        <v>50</v>
      </c>
      <c r="AN4">
        <v>500</v>
      </c>
      <c r="AO4">
        <v>48</v>
      </c>
      <c r="AP4">
        <v>-4.9571543086321702E-2</v>
      </c>
      <c r="AQ4">
        <v>0.96399999999999997</v>
      </c>
      <c r="AR4">
        <v>-0.184742233484291</v>
      </c>
      <c r="AU4" s="2">
        <v>601</v>
      </c>
      <c r="AV4" s="2">
        <v>59</v>
      </c>
      <c r="AX4" s="2">
        <v>598</v>
      </c>
      <c r="AY4" s="2">
        <v>62</v>
      </c>
      <c r="BA4" s="2">
        <v>3</v>
      </c>
      <c r="BE4" t="s">
        <v>315</v>
      </c>
    </row>
    <row r="5" spans="1:57" x14ac:dyDescent="0.2">
      <c r="A5" t="s">
        <v>323</v>
      </c>
      <c r="B5">
        <v>4</v>
      </c>
      <c r="C5">
        <v>3</v>
      </c>
      <c r="D5">
        <v>1</v>
      </c>
      <c r="E5" t="s">
        <v>55</v>
      </c>
      <c r="F5" t="s">
        <v>332</v>
      </c>
      <c r="G5" s="1" t="s">
        <v>317</v>
      </c>
      <c r="H5" t="s">
        <v>40</v>
      </c>
      <c r="I5">
        <v>19.579999999999998</v>
      </c>
      <c r="J5">
        <v>1</v>
      </c>
      <c r="K5">
        <v>24.2</v>
      </c>
      <c r="L5" t="s">
        <v>41</v>
      </c>
      <c r="M5">
        <v>37</v>
      </c>
      <c r="N5" t="s">
        <v>42</v>
      </c>
      <c r="O5">
        <v>55</v>
      </c>
      <c r="P5">
        <v>25</v>
      </c>
      <c r="Q5" t="s">
        <v>50</v>
      </c>
      <c r="R5" t="s">
        <v>50</v>
      </c>
      <c r="S5" t="s">
        <v>43</v>
      </c>
      <c r="T5" t="s">
        <v>43</v>
      </c>
      <c r="U5" t="s">
        <v>56</v>
      </c>
      <c r="V5" t="s">
        <v>45</v>
      </c>
      <c r="W5" t="s">
        <v>46</v>
      </c>
      <c r="X5">
        <v>20</v>
      </c>
      <c r="Y5">
        <v>4</v>
      </c>
      <c r="Z5">
        <v>88</v>
      </c>
      <c r="AA5">
        <v>352</v>
      </c>
      <c r="AB5" t="s">
        <v>47</v>
      </c>
      <c r="AC5">
        <v>22</v>
      </c>
      <c r="AD5" t="s">
        <v>43</v>
      </c>
      <c r="AE5" t="s">
        <v>48</v>
      </c>
      <c r="AF5" t="s">
        <v>54</v>
      </c>
      <c r="AG5">
        <v>200</v>
      </c>
      <c r="AH5">
        <v>100</v>
      </c>
      <c r="AI5">
        <v>1800</v>
      </c>
      <c r="AJ5">
        <v>1800</v>
      </c>
      <c r="AK5" t="s">
        <v>43</v>
      </c>
      <c r="AL5" t="s">
        <v>49</v>
      </c>
      <c r="AM5" t="s">
        <v>50</v>
      </c>
      <c r="AN5">
        <v>200</v>
      </c>
      <c r="AO5">
        <v>34</v>
      </c>
      <c r="AP5">
        <v>-6.9914686220428707E-2</v>
      </c>
      <c r="AQ5" s="1">
        <v>0.94199999999999995</v>
      </c>
      <c r="AR5">
        <v>-0.205276586948309</v>
      </c>
      <c r="AU5" s="1">
        <v>423</v>
      </c>
      <c r="AV5" s="1">
        <v>70</v>
      </c>
      <c r="AW5" s="1"/>
      <c r="AX5" s="1">
        <v>418</v>
      </c>
      <c r="AY5" s="1">
        <v>73</v>
      </c>
      <c r="AZ5" s="1"/>
      <c r="BA5" s="1">
        <f t="shared" ref="BA5:BA10" si="0">AU5-AX5</f>
        <v>5</v>
      </c>
      <c r="BB5" s="2"/>
    </row>
    <row r="6" spans="1:57" x14ac:dyDescent="0.2">
      <c r="A6" t="s">
        <v>323</v>
      </c>
      <c r="B6">
        <v>5</v>
      </c>
      <c r="C6">
        <v>3</v>
      </c>
      <c r="D6">
        <v>1</v>
      </c>
      <c r="E6" t="s">
        <v>57</v>
      </c>
      <c r="F6" t="s">
        <v>332</v>
      </c>
      <c r="G6" s="1" t="s">
        <v>318</v>
      </c>
      <c r="H6" t="s">
        <v>40</v>
      </c>
      <c r="I6">
        <v>19.579999999999998</v>
      </c>
      <c r="J6">
        <v>1</v>
      </c>
      <c r="K6">
        <v>24.2</v>
      </c>
      <c r="L6" t="s">
        <v>41</v>
      </c>
      <c r="M6">
        <v>37</v>
      </c>
      <c r="N6" t="s">
        <v>42</v>
      </c>
      <c r="O6">
        <v>55</v>
      </c>
      <c r="P6">
        <v>25</v>
      </c>
      <c r="Q6" t="s">
        <v>50</v>
      </c>
      <c r="R6" t="s">
        <v>50</v>
      </c>
      <c r="S6" t="s">
        <v>43</v>
      </c>
      <c r="T6" t="s">
        <v>43</v>
      </c>
      <c r="U6" t="s">
        <v>56</v>
      </c>
      <c r="V6" t="s">
        <v>45</v>
      </c>
      <c r="W6" t="s">
        <v>46</v>
      </c>
      <c r="X6">
        <v>20</v>
      </c>
      <c r="Y6">
        <v>4</v>
      </c>
      <c r="Z6">
        <v>88</v>
      </c>
      <c r="AA6">
        <v>352</v>
      </c>
      <c r="AB6" t="s">
        <v>356</v>
      </c>
      <c r="AC6">
        <v>22</v>
      </c>
      <c r="AD6" t="s">
        <v>43</v>
      </c>
      <c r="AE6" t="s">
        <v>48</v>
      </c>
      <c r="AF6" t="s">
        <v>54</v>
      </c>
      <c r="AG6">
        <v>200</v>
      </c>
      <c r="AH6">
        <v>100</v>
      </c>
      <c r="AI6">
        <v>1800</v>
      </c>
      <c r="AJ6">
        <v>1800</v>
      </c>
      <c r="AK6" t="s">
        <v>43</v>
      </c>
      <c r="AL6" t="s">
        <v>49</v>
      </c>
      <c r="AM6" t="s">
        <v>50</v>
      </c>
      <c r="AN6">
        <v>200</v>
      </c>
      <c r="AO6">
        <v>34</v>
      </c>
      <c r="AP6">
        <v>-0.11188537620401</v>
      </c>
      <c r="AQ6" s="1">
        <v>0.94199999999999995</v>
      </c>
      <c r="AR6">
        <v>-0.32850677587502097</v>
      </c>
      <c r="AU6" s="1">
        <v>409</v>
      </c>
      <c r="AV6" s="1">
        <v>72</v>
      </c>
      <c r="AW6" s="1"/>
      <c r="AX6" s="1">
        <v>401</v>
      </c>
      <c r="AY6" s="1">
        <v>71</v>
      </c>
      <c r="AZ6" s="1"/>
      <c r="BA6" s="1">
        <f t="shared" si="0"/>
        <v>8</v>
      </c>
      <c r="BB6" s="2"/>
    </row>
    <row r="7" spans="1:57" x14ac:dyDescent="0.2">
      <c r="A7" t="s">
        <v>323</v>
      </c>
      <c r="B7">
        <v>6</v>
      </c>
      <c r="C7">
        <v>3</v>
      </c>
      <c r="D7">
        <v>2</v>
      </c>
      <c r="E7" t="s">
        <v>58</v>
      </c>
      <c r="F7" t="s">
        <v>332</v>
      </c>
      <c r="G7" s="1" t="s">
        <v>319</v>
      </c>
      <c r="H7" t="s">
        <v>40</v>
      </c>
      <c r="I7">
        <v>22.4</v>
      </c>
      <c r="J7">
        <v>0.58333333333333304</v>
      </c>
      <c r="K7">
        <v>0.94444444444444398</v>
      </c>
      <c r="L7" t="s">
        <v>41</v>
      </c>
      <c r="M7">
        <v>37</v>
      </c>
      <c r="N7" t="s">
        <v>42</v>
      </c>
      <c r="O7">
        <v>55</v>
      </c>
      <c r="P7">
        <v>25</v>
      </c>
      <c r="Q7" t="s">
        <v>50</v>
      </c>
      <c r="R7" t="s">
        <v>50</v>
      </c>
      <c r="S7" t="s">
        <v>43</v>
      </c>
      <c r="T7" t="s">
        <v>43</v>
      </c>
      <c r="U7" t="s">
        <v>56</v>
      </c>
      <c r="V7" t="s">
        <v>45</v>
      </c>
      <c r="W7" t="s">
        <v>46</v>
      </c>
      <c r="X7">
        <v>32</v>
      </c>
      <c r="Y7">
        <v>4</v>
      </c>
      <c r="Z7">
        <v>80</v>
      </c>
      <c r="AA7">
        <v>320</v>
      </c>
      <c r="AB7" t="s">
        <v>47</v>
      </c>
      <c r="AC7">
        <v>2</v>
      </c>
      <c r="AD7" t="s">
        <v>43</v>
      </c>
      <c r="AE7" t="s">
        <v>48</v>
      </c>
      <c r="AF7" t="s">
        <v>54</v>
      </c>
      <c r="AG7">
        <v>200</v>
      </c>
      <c r="AH7">
        <v>100</v>
      </c>
      <c r="AI7">
        <v>2000</v>
      </c>
      <c r="AJ7">
        <v>2000</v>
      </c>
      <c r="AK7" t="s">
        <v>43</v>
      </c>
      <c r="AL7" t="s">
        <v>49</v>
      </c>
      <c r="AM7" t="s">
        <v>50</v>
      </c>
      <c r="AN7">
        <v>200</v>
      </c>
      <c r="AO7">
        <v>35</v>
      </c>
      <c r="AP7">
        <v>-0.268898068875013</v>
      </c>
      <c r="AQ7" s="1">
        <v>0.95499999999999996</v>
      </c>
      <c r="AR7">
        <v>-0.89632689625004303</v>
      </c>
      <c r="AU7" s="1">
        <v>456</v>
      </c>
      <c r="AV7" s="1">
        <v>59</v>
      </c>
      <c r="AW7" s="1"/>
      <c r="AX7" s="1">
        <v>440</v>
      </c>
      <c r="AY7" s="1">
        <v>60</v>
      </c>
      <c r="AZ7" s="1"/>
      <c r="BA7" s="1">
        <f t="shared" si="0"/>
        <v>16</v>
      </c>
      <c r="BB7" s="2"/>
    </row>
    <row r="8" spans="1:57" x14ac:dyDescent="0.2">
      <c r="A8" t="s">
        <v>323</v>
      </c>
      <c r="B8">
        <v>7</v>
      </c>
      <c r="C8">
        <v>3</v>
      </c>
      <c r="D8">
        <v>2</v>
      </c>
      <c r="E8" t="s">
        <v>59</v>
      </c>
      <c r="F8" t="s">
        <v>332</v>
      </c>
      <c r="G8" s="1" t="s">
        <v>320</v>
      </c>
      <c r="H8" t="s">
        <v>40</v>
      </c>
      <c r="I8">
        <v>22.4</v>
      </c>
      <c r="J8">
        <v>0.58333333333333304</v>
      </c>
      <c r="K8">
        <v>0.94444444444444398</v>
      </c>
      <c r="L8" t="s">
        <v>41</v>
      </c>
      <c r="M8">
        <v>37</v>
      </c>
      <c r="N8" t="s">
        <v>42</v>
      </c>
      <c r="O8">
        <v>55</v>
      </c>
      <c r="P8">
        <v>25</v>
      </c>
      <c r="Q8" t="s">
        <v>50</v>
      </c>
      <c r="R8" t="s">
        <v>50</v>
      </c>
      <c r="S8" t="s">
        <v>43</v>
      </c>
      <c r="T8" t="s">
        <v>43</v>
      </c>
      <c r="U8" t="s">
        <v>56</v>
      </c>
      <c r="V8" t="s">
        <v>45</v>
      </c>
      <c r="W8" t="s">
        <v>46</v>
      </c>
      <c r="X8">
        <v>32</v>
      </c>
      <c r="Y8">
        <v>4</v>
      </c>
      <c r="Z8">
        <v>80</v>
      </c>
      <c r="AA8">
        <v>320</v>
      </c>
      <c r="AB8" t="s">
        <v>356</v>
      </c>
      <c r="AC8">
        <v>2</v>
      </c>
      <c r="AD8" t="s">
        <v>43</v>
      </c>
      <c r="AE8" t="s">
        <v>48</v>
      </c>
      <c r="AF8" t="s">
        <v>54</v>
      </c>
      <c r="AG8">
        <v>200</v>
      </c>
      <c r="AH8">
        <v>100</v>
      </c>
      <c r="AI8">
        <v>2000</v>
      </c>
      <c r="AJ8">
        <v>2000</v>
      </c>
      <c r="AK8" t="s">
        <v>43</v>
      </c>
      <c r="AL8" t="s">
        <v>49</v>
      </c>
      <c r="AM8" t="s">
        <v>50</v>
      </c>
      <c r="AN8">
        <v>200</v>
      </c>
      <c r="AO8">
        <v>35</v>
      </c>
      <c r="AP8">
        <v>-6.3997952098298796E-2</v>
      </c>
      <c r="AQ8" s="1">
        <v>0.95499999999999996</v>
      </c>
      <c r="AR8">
        <v>-0.21332650699432901</v>
      </c>
      <c r="AU8" s="1">
        <v>439</v>
      </c>
      <c r="AV8" s="1">
        <v>63</v>
      </c>
      <c r="AW8" s="1"/>
      <c r="AX8" s="1">
        <v>435</v>
      </c>
      <c r="AY8" s="1">
        <v>62</v>
      </c>
      <c r="AZ8" s="1"/>
      <c r="BA8" s="1">
        <f t="shared" si="0"/>
        <v>4</v>
      </c>
      <c r="BB8" s="2"/>
    </row>
    <row r="9" spans="1:57" x14ac:dyDescent="0.2">
      <c r="A9" t="s">
        <v>323</v>
      </c>
      <c r="B9">
        <v>8</v>
      </c>
      <c r="C9">
        <v>3</v>
      </c>
      <c r="D9">
        <v>2</v>
      </c>
      <c r="E9" t="s">
        <v>60</v>
      </c>
      <c r="F9" t="s">
        <v>332</v>
      </c>
      <c r="G9" s="1" t="s">
        <v>321</v>
      </c>
      <c r="H9" t="s">
        <v>40</v>
      </c>
      <c r="I9">
        <v>22.4</v>
      </c>
      <c r="J9">
        <v>0.58333333333333304</v>
      </c>
      <c r="K9">
        <v>0.94444444444444398</v>
      </c>
      <c r="L9" t="s">
        <v>41</v>
      </c>
      <c r="M9">
        <v>37</v>
      </c>
      <c r="N9" t="s">
        <v>42</v>
      </c>
      <c r="O9">
        <v>55</v>
      </c>
      <c r="P9">
        <v>25</v>
      </c>
      <c r="Q9" t="s">
        <v>50</v>
      </c>
      <c r="R9" t="s">
        <v>50</v>
      </c>
      <c r="S9" t="s">
        <v>43</v>
      </c>
      <c r="T9" t="s">
        <v>43</v>
      </c>
      <c r="U9" t="s">
        <v>56</v>
      </c>
      <c r="V9" t="s">
        <v>45</v>
      </c>
      <c r="W9" t="s">
        <v>46</v>
      </c>
      <c r="X9">
        <v>32</v>
      </c>
      <c r="Y9">
        <v>4</v>
      </c>
      <c r="Z9">
        <v>80</v>
      </c>
      <c r="AA9">
        <v>320</v>
      </c>
      <c r="AB9" t="s">
        <v>47</v>
      </c>
      <c r="AC9">
        <v>2</v>
      </c>
      <c r="AD9" t="s">
        <v>43</v>
      </c>
      <c r="AE9" t="s">
        <v>48</v>
      </c>
      <c r="AF9" t="s">
        <v>61</v>
      </c>
      <c r="AG9">
        <v>200</v>
      </c>
      <c r="AH9">
        <v>100</v>
      </c>
      <c r="AI9">
        <v>2000</v>
      </c>
      <c r="AJ9">
        <v>2000</v>
      </c>
      <c r="AK9" t="s">
        <v>43</v>
      </c>
      <c r="AL9" t="s">
        <v>49</v>
      </c>
      <c r="AM9" t="s">
        <v>50</v>
      </c>
      <c r="AN9">
        <v>200</v>
      </c>
      <c r="AO9">
        <v>35</v>
      </c>
      <c r="AP9">
        <v>0.23508669670929599</v>
      </c>
      <c r="AQ9" s="1">
        <v>0.95499999999999996</v>
      </c>
      <c r="AR9">
        <v>0.78362232236431895</v>
      </c>
      <c r="AU9" s="1">
        <v>441</v>
      </c>
      <c r="AV9" s="1">
        <v>57</v>
      </c>
      <c r="AW9" s="1"/>
      <c r="AX9" s="1">
        <v>455</v>
      </c>
      <c r="AY9" s="1">
        <v>62</v>
      </c>
      <c r="AZ9" s="1"/>
      <c r="BA9" s="1">
        <f t="shared" si="0"/>
        <v>-14</v>
      </c>
      <c r="BB9" s="2"/>
    </row>
    <row r="10" spans="1:57" x14ac:dyDescent="0.2">
      <c r="A10" t="s">
        <v>323</v>
      </c>
      <c r="B10">
        <v>9</v>
      </c>
      <c r="C10">
        <v>3</v>
      </c>
      <c r="D10">
        <v>2</v>
      </c>
      <c r="E10" t="s">
        <v>62</v>
      </c>
      <c r="F10" t="s">
        <v>332</v>
      </c>
      <c r="G10" s="1" t="s">
        <v>322</v>
      </c>
      <c r="H10" t="s">
        <v>40</v>
      </c>
      <c r="I10">
        <v>22.4</v>
      </c>
      <c r="J10">
        <v>0.58333333333333304</v>
      </c>
      <c r="K10">
        <v>0.94444444444444398</v>
      </c>
      <c r="L10" t="s">
        <v>41</v>
      </c>
      <c r="M10">
        <v>37</v>
      </c>
      <c r="N10" t="s">
        <v>42</v>
      </c>
      <c r="O10">
        <v>55</v>
      </c>
      <c r="P10">
        <v>25</v>
      </c>
      <c r="Q10" t="s">
        <v>50</v>
      </c>
      <c r="R10" t="s">
        <v>50</v>
      </c>
      <c r="S10" t="s">
        <v>43</v>
      </c>
      <c r="T10" t="s">
        <v>43</v>
      </c>
      <c r="U10" t="s">
        <v>56</v>
      </c>
      <c r="V10" t="s">
        <v>45</v>
      </c>
      <c r="W10" t="s">
        <v>46</v>
      </c>
      <c r="X10">
        <v>32</v>
      </c>
      <c r="Y10">
        <v>4</v>
      </c>
      <c r="Z10">
        <v>80</v>
      </c>
      <c r="AA10">
        <v>320</v>
      </c>
      <c r="AB10" t="s">
        <v>356</v>
      </c>
      <c r="AC10">
        <v>2</v>
      </c>
      <c r="AD10" t="s">
        <v>43</v>
      </c>
      <c r="AE10" t="s">
        <v>48</v>
      </c>
      <c r="AF10" t="s">
        <v>61</v>
      </c>
      <c r="AG10">
        <v>200</v>
      </c>
      <c r="AH10">
        <v>100</v>
      </c>
      <c r="AI10">
        <v>2000</v>
      </c>
      <c r="AJ10">
        <v>2000</v>
      </c>
      <c r="AK10" t="s">
        <v>43</v>
      </c>
      <c r="AL10" t="s">
        <v>49</v>
      </c>
      <c r="AM10" t="s">
        <v>50</v>
      </c>
      <c r="AN10">
        <v>200</v>
      </c>
      <c r="AO10">
        <v>35</v>
      </c>
      <c r="AP10">
        <v>0.30225432434052302</v>
      </c>
      <c r="AQ10" s="1">
        <v>0.95499999999999996</v>
      </c>
      <c r="AR10">
        <v>1.0075144144684101</v>
      </c>
      <c r="AU10" s="1">
        <v>426</v>
      </c>
      <c r="AV10" s="1">
        <v>57</v>
      </c>
      <c r="AW10" s="1"/>
      <c r="AX10" s="1">
        <v>444</v>
      </c>
      <c r="AY10" s="1">
        <v>62</v>
      </c>
      <c r="AZ10" s="1"/>
      <c r="BA10" s="1">
        <f t="shared" si="0"/>
        <v>-18</v>
      </c>
      <c r="BB10" s="2"/>
    </row>
    <row r="11" spans="1:57" x14ac:dyDescent="0.2">
      <c r="A11" t="s">
        <v>63</v>
      </c>
      <c r="B11">
        <v>10</v>
      </c>
      <c r="C11">
        <v>4</v>
      </c>
      <c r="D11">
        <v>1</v>
      </c>
      <c r="E11" t="s">
        <v>64</v>
      </c>
      <c r="F11" t="s">
        <v>333</v>
      </c>
      <c r="G11" t="s">
        <v>301</v>
      </c>
      <c r="H11" t="s">
        <v>40</v>
      </c>
      <c r="L11" t="s">
        <v>41</v>
      </c>
      <c r="N11" t="s">
        <v>42</v>
      </c>
      <c r="O11">
        <v>50</v>
      </c>
      <c r="Q11" t="s">
        <v>43</v>
      </c>
      <c r="R11" t="s">
        <v>43</v>
      </c>
      <c r="S11" t="s">
        <v>43</v>
      </c>
      <c r="T11" t="s">
        <v>43</v>
      </c>
      <c r="U11" t="s">
        <v>56</v>
      </c>
      <c r="V11" t="s">
        <v>45</v>
      </c>
      <c r="W11" t="s">
        <v>46</v>
      </c>
      <c r="X11">
        <v>20</v>
      </c>
      <c r="Y11">
        <v>1</v>
      </c>
      <c r="Z11">
        <v>320</v>
      </c>
      <c r="AA11">
        <v>320</v>
      </c>
      <c r="AB11" t="s">
        <v>47</v>
      </c>
      <c r="AC11">
        <v>1</v>
      </c>
      <c r="AD11" t="s">
        <v>43</v>
      </c>
      <c r="AE11" t="s">
        <v>48</v>
      </c>
      <c r="AI11">
        <v>895</v>
      </c>
      <c r="AJ11">
        <v>895</v>
      </c>
      <c r="AK11" t="s">
        <v>43</v>
      </c>
      <c r="AL11" t="s">
        <v>49</v>
      </c>
      <c r="AM11" t="s">
        <v>50</v>
      </c>
      <c r="AO11">
        <v>24</v>
      </c>
      <c r="AP11">
        <v>-2.7952428945648498E-2</v>
      </c>
      <c r="AQ11">
        <v>0.95679999999999998</v>
      </c>
      <c r="AR11">
        <v>-9.5096094428113495E-2</v>
      </c>
      <c r="AU11" s="2">
        <v>407.4</v>
      </c>
      <c r="AV11" s="2">
        <v>38.9</v>
      </c>
      <c r="AW11" s="2"/>
      <c r="AX11" s="2">
        <v>406.3</v>
      </c>
      <c r="AY11" s="2">
        <v>39.799999999999997</v>
      </c>
      <c r="AZ11" s="2"/>
      <c r="BE11" t="s">
        <v>335</v>
      </c>
    </row>
    <row r="12" spans="1:57" x14ac:dyDescent="0.2">
      <c r="A12" t="s">
        <v>63</v>
      </c>
      <c r="B12">
        <v>11</v>
      </c>
      <c r="C12">
        <v>4</v>
      </c>
      <c r="D12">
        <v>1</v>
      </c>
      <c r="E12" t="s">
        <v>65</v>
      </c>
      <c r="F12" t="s">
        <v>333</v>
      </c>
      <c r="G12" t="s">
        <v>302</v>
      </c>
      <c r="H12" t="s">
        <v>40</v>
      </c>
      <c r="L12" t="s">
        <v>41</v>
      </c>
      <c r="N12" t="s">
        <v>42</v>
      </c>
      <c r="O12">
        <v>50</v>
      </c>
      <c r="Q12" t="s">
        <v>43</v>
      </c>
      <c r="R12" t="s">
        <v>43</v>
      </c>
      <c r="S12" t="s">
        <v>43</v>
      </c>
      <c r="T12" t="s">
        <v>43</v>
      </c>
      <c r="U12" t="s">
        <v>56</v>
      </c>
      <c r="V12" t="s">
        <v>45</v>
      </c>
      <c r="W12" t="s">
        <v>46</v>
      </c>
      <c r="X12">
        <v>20</v>
      </c>
      <c r="Y12">
        <v>1</v>
      </c>
      <c r="Z12">
        <v>320</v>
      </c>
      <c r="AA12">
        <v>320</v>
      </c>
      <c r="AB12" t="s">
        <v>47</v>
      </c>
      <c r="AC12">
        <v>1</v>
      </c>
      <c r="AD12" t="s">
        <v>43</v>
      </c>
      <c r="AE12" t="s">
        <v>48</v>
      </c>
      <c r="AI12">
        <v>1330</v>
      </c>
      <c r="AJ12">
        <v>1330</v>
      </c>
      <c r="AK12" t="s">
        <v>43</v>
      </c>
      <c r="AL12" t="s">
        <v>49</v>
      </c>
      <c r="AM12" t="s">
        <v>50</v>
      </c>
      <c r="AO12">
        <v>24</v>
      </c>
      <c r="AP12">
        <v>-5.6793241422708002E-2</v>
      </c>
      <c r="AQ12">
        <v>0.95679999999999998</v>
      </c>
      <c r="AR12">
        <v>-0.19321453100601699</v>
      </c>
      <c r="AU12" s="2">
        <v>380.4</v>
      </c>
      <c r="AV12" s="2">
        <v>41.4</v>
      </c>
      <c r="AW12" s="2"/>
      <c r="AX12" s="2">
        <v>378</v>
      </c>
      <c r="AY12" s="2">
        <v>43.1</v>
      </c>
      <c r="AZ12" s="2"/>
      <c r="BE12" t="s">
        <v>335</v>
      </c>
    </row>
    <row r="13" spans="1:57" x14ac:dyDescent="0.2">
      <c r="A13" t="s">
        <v>63</v>
      </c>
      <c r="B13">
        <v>12</v>
      </c>
      <c r="C13">
        <v>4</v>
      </c>
      <c r="D13">
        <v>2</v>
      </c>
      <c r="E13" t="s">
        <v>66</v>
      </c>
      <c r="F13" t="s">
        <v>333</v>
      </c>
      <c r="G13" t="s">
        <v>303</v>
      </c>
      <c r="H13" t="s">
        <v>40</v>
      </c>
      <c r="L13" t="s">
        <v>41</v>
      </c>
      <c r="N13" t="s">
        <v>42</v>
      </c>
      <c r="O13">
        <v>50</v>
      </c>
      <c r="Q13" t="s">
        <v>43</v>
      </c>
      <c r="R13" t="s">
        <v>43</v>
      </c>
      <c r="S13" t="s">
        <v>43</v>
      </c>
      <c r="T13" t="s">
        <v>43</v>
      </c>
      <c r="U13" t="s">
        <v>56</v>
      </c>
      <c r="V13" t="s">
        <v>45</v>
      </c>
      <c r="W13" t="s">
        <v>46</v>
      </c>
      <c r="X13">
        <v>20</v>
      </c>
      <c r="Y13">
        <v>1</v>
      </c>
      <c r="Z13">
        <v>320</v>
      </c>
      <c r="AA13">
        <v>320</v>
      </c>
      <c r="AB13" t="s">
        <v>47</v>
      </c>
      <c r="AC13">
        <v>1</v>
      </c>
      <c r="AD13" t="s">
        <v>43</v>
      </c>
      <c r="AE13" t="s">
        <v>48</v>
      </c>
      <c r="AI13">
        <v>895</v>
      </c>
      <c r="AJ13">
        <v>895</v>
      </c>
      <c r="AK13" t="s">
        <v>43</v>
      </c>
      <c r="AL13" t="s">
        <v>49</v>
      </c>
      <c r="AM13" t="s">
        <v>50</v>
      </c>
      <c r="AO13">
        <v>30</v>
      </c>
      <c r="AP13">
        <v>-3.6937256842919E-2</v>
      </c>
      <c r="AQ13">
        <v>0.95679999999999998</v>
      </c>
      <c r="AR13">
        <v>-0.125663099671219</v>
      </c>
      <c r="AU13" s="2">
        <v>404.6</v>
      </c>
      <c r="AV13" s="2">
        <v>37.5</v>
      </c>
      <c r="AW13" s="2"/>
      <c r="AX13" s="2">
        <v>403.2</v>
      </c>
      <c r="AY13" s="2">
        <v>38.299999999999997</v>
      </c>
      <c r="AZ13" s="2"/>
      <c r="BE13" t="s">
        <v>335</v>
      </c>
    </row>
    <row r="14" spans="1:57" x14ac:dyDescent="0.2">
      <c r="A14" t="s">
        <v>63</v>
      </c>
      <c r="B14">
        <v>13</v>
      </c>
      <c r="C14">
        <v>4</v>
      </c>
      <c r="D14">
        <v>2</v>
      </c>
      <c r="E14" t="s">
        <v>67</v>
      </c>
      <c r="F14" t="s">
        <v>333</v>
      </c>
      <c r="G14" t="s">
        <v>304</v>
      </c>
      <c r="H14" t="s">
        <v>40</v>
      </c>
      <c r="L14" t="s">
        <v>41</v>
      </c>
      <c r="N14" t="s">
        <v>42</v>
      </c>
      <c r="O14">
        <v>50</v>
      </c>
      <c r="Q14" t="s">
        <v>43</v>
      </c>
      <c r="R14" t="s">
        <v>43</v>
      </c>
      <c r="S14" t="s">
        <v>43</v>
      </c>
      <c r="T14" t="s">
        <v>43</v>
      </c>
      <c r="U14" t="s">
        <v>56</v>
      </c>
      <c r="V14" t="s">
        <v>45</v>
      </c>
      <c r="W14" t="s">
        <v>46</v>
      </c>
      <c r="X14">
        <v>20</v>
      </c>
      <c r="Y14">
        <v>1</v>
      </c>
      <c r="Z14">
        <v>320</v>
      </c>
      <c r="AA14">
        <v>320</v>
      </c>
      <c r="AB14" t="s">
        <v>47</v>
      </c>
      <c r="AC14">
        <v>1</v>
      </c>
      <c r="AD14" t="s">
        <v>43</v>
      </c>
      <c r="AE14" t="s">
        <v>48</v>
      </c>
      <c r="AI14">
        <v>1330</v>
      </c>
      <c r="AJ14">
        <v>1330</v>
      </c>
      <c r="AK14" t="s">
        <v>43</v>
      </c>
      <c r="AL14" t="s">
        <v>49</v>
      </c>
      <c r="AM14" t="s">
        <v>50</v>
      </c>
      <c r="AO14">
        <v>30</v>
      </c>
      <c r="AP14">
        <v>3.8409042798621E-2</v>
      </c>
      <c r="AQ14">
        <v>0.95679999999999998</v>
      </c>
      <c r="AR14">
        <v>0.130670217174086</v>
      </c>
      <c r="AU14" s="2">
        <v>379.4</v>
      </c>
      <c r="AV14" s="2">
        <v>36.299999999999997</v>
      </c>
      <c r="AW14" s="2"/>
      <c r="AX14" s="2">
        <v>380.7</v>
      </c>
      <c r="AY14" s="2">
        <v>31.2</v>
      </c>
      <c r="AZ14" s="2"/>
      <c r="BE14" t="s">
        <v>335</v>
      </c>
    </row>
    <row r="15" spans="1:57" x14ac:dyDescent="0.2">
      <c r="A15" t="s">
        <v>68</v>
      </c>
      <c r="B15">
        <v>18</v>
      </c>
      <c r="C15">
        <v>5</v>
      </c>
      <c r="D15">
        <v>1</v>
      </c>
      <c r="E15" t="s">
        <v>74</v>
      </c>
      <c r="F15" t="s">
        <v>334</v>
      </c>
      <c r="G15" t="s">
        <v>337</v>
      </c>
      <c r="H15" t="s">
        <v>40</v>
      </c>
      <c r="L15" t="s">
        <v>41</v>
      </c>
      <c r="M15">
        <v>1.9</v>
      </c>
      <c r="N15" t="s">
        <v>42</v>
      </c>
      <c r="O15">
        <v>60</v>
      </c>
      <c r="Q15" t="s">
        <v>50</v>
      </c>
      <c r="R15" t="s">
        <v>50</v>
      </c>
      <c r="S15" t="s">
        <v>43</v>
      </c>
      <c r="T15" t="s">
        <v>43</v>
      </c>
      <c r="U15" t="s">
        <v>56</v>
      </c>
      <c r="V15" t="s">
        <v>45</v>
      </c>
      <c r="W15" t="s">
        <v>71</v>
      </c>
      <c r="X15">
        <v>32</v>
      </c>
      <c r="Y15">
        <v>2</v>
      </c>
      <c r="Z15">
        <v>176</v>
      </c>
      <c r="AA15">
        <v>352</v>
      </c>
      <c r="AB15" t="s">
        <v>356</v>
      </c>
      <c r="AC15">
        <v>1</v>
      </c>
      <c r="AD15" t="s">
        <v>43</v>
      </c>
      <c r="AE15" t="s">
        <v>48</v>
      </c>
      <c r="AF15" t="s">
        <v>61</v>
      </c>
      <c r="AG15">
        <v>0</v>
      </c>
      <c r="AH15">
        <v>500</v>
      </c>
      <c r="AI15">
        <v>1500</v>
      </c>
      <c r="AJ15">
        <v>1500</v>
      </c>
      <c r="AK15" t="s">
        <v>43</v>
      </c>
      <c r="AL15" t="s">
        <v>49</v>
      </c>
      <c r="AM15" t="s">
        <v>50</v>
      </c>
      <c r="AN15">
        <v>500</v>
      </c>
      <c r="AO15">
        <v>16</v>
      </c>
      <c r="AP15">
        <v>0.41018767431304898</v>
      </c>
      <c r="AQ15">
        <v>0.95679999999999998</v>
      </c>
      <c r="AR15">
        <v>1.39548680673042</v>
      </c>
      <c r="AU15" s="3">
        <v>477</v>
      </c>
      <c r="AV15" s="3">
        <v>59.762</v>
      </c>
      <c r="AW15" s="3"/>
      <c r="AX15" s="3">
        <v>503</v>
      </c>
      <c r="AY15" s="3">
        <v>66.813000000000002</v>
      </c>
      <c r="AZ15" s="3"/>
      <c r="BA15" s="3"/>
      <c r="BE15" t="s">
        <v>345</v>
      </c>
    </row>
    <row r="16" spans="1:57" x14ac:dyDescent="0.2">
      <c r="A16" t="s">
        <v>68</v>
      </c>
      <c r="B16">
        <v>14</v>
      </c>
      <c r="C16">
        <v>5</v>
      </c>
      <c r="D16">
        <v>2</v>
      </c>
      <c r="E16" t="s">
        <v>69</v>
      </c>
      <c r="F16" t="s">
        <v>334</v>
      </c>
      <c r="G16" t="s">
        <v>336</v>
      </c>
      <c r="H16" t="s">
        <v>40</v>
      </c>
      <c r="L16" t="s">
        <v>70</v>
      </c>
      <c r="M16">
        <v>1.9</v>
      </c>
      <c r="N16" t="s">
        <v>42</v>
      </c>
      <c r="O16">
        <v>60</v>
      </c>
      <c r="Q16" t="s">
        <v>50</v>
      </c>
      <c r="R16" t="s">
        <v>50</v>
      </c>
      <c r="S16" t="s">
        <v>43</v>
      </c>
      <c r="T16" t="s">
        <v>43</v>
      </c>
      <c r="U16" t="s">
        <v>56</v>
      </c>
      <c r="V16" t="s">
        <v>45</v>
      </c>
      <c r="W16" t="s">
        <v>71</v>
      </c>
      <c r="X16">
        <v>32</v>
      </c>
      <c r="Y16">
        <v>2</v>
      </c>
      <c r="Z16">
        <v>176</v>
      </c>
      <c r="AA16">
        <v>352</v>
      </c>
      <c r="AB16" t="s">
        <v>356</v>
      </c>
      <c r="AC16">
        <v>1</v>
      </c>
      <c r="AD16" t="s">
        <v>43</v>
      </c>
      <c r="AE16" t="s">
        <v>48</v>
      </c>
      <c r="AF16" t="s">
        <v>61</v>
      </c>
      <c r="AG16">
        <v>0</v>
      </c>
      <c r="AH16">
        <v>500</v>
      </c>
      <c r="AI16">
        <v>1500</v>
      </c>
      <c r="AJ16">
        <v>1500</v>
      </c>
      <c r="AK16" t="s">
        <v>43</v>
      </c>
      <c r="AL16" t="s">
        <v>49</v>
      </c>
      <c r="AM16" t="s">
        <v>50</v>
      </c>
      <c r="AN16">
        <v>500</v>
      </c>
      <c r="AO16">
        <v>16</v>
      </c>
      <c r="AP16">
        <v>0.29337709766499098</v>
      </c>
      <c r="AQ16">
        <v>0.95679999999999998</v>
      </c>
      <c r="AR16">
        <v>0.99808915485818495</v>
      </c>
      <c r="AU16" s="3">
        <v>470</v>
      </c>
      <c r="AV16" s="4">
        <v>105.77200000000001</v>
      </c>
      <c r="AW16" s="3"/>
      <c r="AX16" s="3">
        <v>501</v>
      </c>
      <c r="AY16" s="4">
        <v>105.56</v>
      </c>
      <c r="AZ16" s="3"/>
      <c r="BA16" s="3"/>
      <c r="BE16" t="s">
        <v>345</v>
      </c>
    </row>
    <row r="17" spans="1:57" x14ac:dyDescent="0.2">
      <c r="A17" t="s">
        <v>68</v>
      </c>
      <c r="B17">
        <v>15</v>
      </c>
      <c r="C17">
        <v>5</v>
      </c>
      <c r="D17">
        <v>3</v>
      </c>
      <c r="E17" t="s">
        <v>75</v>
      </c>
      <c r="F17" t="s">
        <v>334</v>
      </c>
      <c r="G17" t="s">
        <v>340</v>
      </c>
      <c r="H17" t="s">
        <v>40</v>
      </c>
      <c r="L17" t="s">
        <v>41</v>
      </c>
      <c r="M17">
        <v>1.9</v>
      </c>
      <c r="N17" t="s">
        <v>42</v>
      </c>
      <c r="O17">
        <v>60</v>
      </c>
      <c r="Q17" t="s">
        <v>50</v>
      </c>
      <c r="R17" t="s">
        <v>50</v>
      </c>
      <c r="S17" t="s">
        <v>50</v>
      </c>
      <c r="T17" t="s">
        <v>43</v>
      </c>
      <c r="U17" t="s">
        <v>44</v>
      </c>
      <c r="V17" t="s">
        <v>45</v>
      </c>
      <c r="W17" t="s">
        <v>71</v>
      </c>
      <c r="X17">
        <v>32</v>
      </c>
      <c r="Y17">
        <v>2</v>
      </c>
      <c r="Z17">
        <v>176</v>
      </c>
      <c r="AA17">
        <v>352</v>
      </c>
      <c r="AB17" t="s">
        <v>356</v>
      </c>
      <c r="AC17">
        <v>1</v>
      </c>
      <c r="AD17" t="s">
        <v>43</v>
      </c>
      <c r="AE17" t="s">
        <v>48</v>
      </c>
      <c r="AF17" t="s">
        <v>61</v>
      </c>
      <c r="AG17">
        <v>0</v>
      </c>
      <c r="AH17">
        <v>500</v>
      </c>
      <c r="AI17">
        <v>1500</v>
      </c>
      <c r="AJ17">
        <v>1500</v>
      </c>
      <c r="AK17" t="s">
        <v>43</v>
      </c>
      <c r="AL17" t="s">
        <v>49</v>
      </c>
      <c r="AM17" t="s">
        <v>50</v>
      </c>
      <c r="AN17">
        <v>500</v>
      </c>
      <c r="AO17">
        <v>16</v>
      </c>
      <c r="AP17">
        <v>0.57778155128999997</v>
      </c>
      <c r="AQ17">
        <v>0.95679999999999998</v>
      </c>
      <c r="AR17">
        <v>1.96565275479751</v>
      </c>
      <c r="AU17" s="3">
        <v>558</v>
      </c>
      <c r="AV17" s="4">
        <v>74.444999999999993</v>
      </c>
      <c r="AW17" s="3"/>
      <c r="AX17" s="3">
        <v>601</v>
      </c>
      <c r="AY17" s="4">
        <v>74.397999999999996</v>
      </c>
      <c r="AZ17" s="3"/>
      <c r="BA17" s="3"/>
      <c r="BE17" t="s">
        <v>345</v>
      </c>
    </row>
    <row r="18" spans="1:57" x14ac:dyDescent="0.2">
      <c r="A18" t="s">
        <v>68</v>
      </c>
      <c r="B18">
        <v>16</v>
      </c>
      <c r="C18">
        <v>5</v>
      </c>
      <c r="D18">
        <v>4</v>
      </c>
      <c r="E18" t="s">
        <v>72</v>
      </c>
      <c r="F18" t="s">
        <v>334</v>
      </c>
      <c r="G18" t="s">
        <v>341</v>
      </c>
      <c r="H18" t="s">
        <v>40</v>
      </c>
      <c r="L18" t="s">
        <v>70</v>
      </c>
      <c r="M18">
        <v>1.9</v>
      </c>
      <c r="N18" t="s">
        <v>42</v>
      </c>
      <c r="O18">
        <v>60</v>
      </c>
      <c r="Q18" t="s">
        <v>50</v>
      </c>
      <c r="R18" t="s">
        <v>50</v>
      </c>
      <c r="S18" t="s">
        <v>50</v>
      </c>
      <c r="T18" t="s">
        <v>43</v>
      </c>
      <c r="U18" t="s">
        <v>44</v>
      </c>
      <c r="V18" t="s">
        <v>45</v>
      </c>
      <c r="W18" t="s">
        <v>71</v>
      </c>
      <c r="X18">
        <v>32</v>
      </c>
      <c r="Y18">
        <v>2</v>
      </c>
      <c r="Z18">
        <v>176</v>
      </c>
      <c r="AA18">
        <v>352</v>
      </c>
      <c r="AB18" t="s">
        <v>356</v>
      </c>
      <c r="AC18">
        <v>1</v>
      </c>
      <c r="AD18" t="s">
        <v>43</v>
      </c>
      <c r="AE18" t="s">
        <v>48</v>
      </c>
      <c r="AF18" t="s">
        <v>61</v>
      </c>
      <c r="AG18">
        <v>0</v>
      </c>
      <c r="AH18">
        <v>500</v>
      </c>
      <c r="AI18">
        <v>1500</v>
      </c>
      <c r="AJ18">
        <v>1500</v>
      </c>
      <c r="AK18" t="s">
        <v>43</v>
      </c>
      <c r="AL18" t="s">
        <v>49</v>
      </c>
      <c r="AM18" t="s">
        <v>50</v>
      </c>
      <c r="AN18">
        <v>500</v>
      </c>
      <c r="AO18">
        <v>16</v>
      </c>
      <c r="AP18">
        <v>0.61631274579024398</v>
      </c>
      <c r="AQ18">
        <v>0.95679999999999998</v>
      </c>
      <c r="AR18">
        <v>2.0967385404996399</v>
      </c>
      <c r="AU18" s="3">
        <v>524</v>
      </c>
      <c r="AV18" s="4">
        <v>68.796999999999997</v>
      </c>
      <c r="AW18" s="3"/>
      <c r="AX18" s="3">
        <v>574</v>
      </c>
      <c r="AY18" s="4">
        <v>91.816999999999993</v>
      </c>
      <c r="AZ18" s="3"/>
      <c r="BA18" s="3"/>
      <c r="BE18" t="s">
        <v>345</v>
      </c>
    </row>
    <row r="19" spans="1:57" x14ac:dyDescent="0.2">
      <c r="A19" t="s">
        <v>68</v>
      </c>
      <c r="B19">
        <v>19</v>
      </c>
      <c r="C19">
        <v>5</v>
      </c>
      <c r="D19">
        <v>5</v>
      </c>
      <c r="E19" t="s">
        <v>76</v>
      </c>
      <c r="F19" t="s">
        <v>334</v>
      </c>
      <c r="G19" t="s">
        <v>342</v>
      </c>
      <c r="H19" t="s">
        <v>40</v>
      </c>
      <c r="L19" t="s">
        <v>41</v>
      </c>
      <c r="M19">
        <v>1.9</v>
      </c>
      <c r="N19" t="s">
        <v>42</v>
      </c>
      <c r="O19">
        <v>60</v>
      </c>
      <c r="Q19" t="s">
        <v>50</v>
      </c>
      <c r="R19" t="s">
        <v>50</v>
      </c>
      <c r="S19" t="s">
        <v>50</v>
      </c>
      <c r="T19" t="s">
        <v>43</v>
      </c>
      <c r="U19" t="s">
        <v>44</v>
      </c>
      <c r="V19" t="s">
        <v>45</v>
      </c>
      <c r="W19" t="s">
        <v>71</v>
      </c>
      <c r="X19">
        <v>32</v>
      </c>
      <c r="Y19">
        <v>2</v>
      </c>
      <c r="Z19">
        <v>176</v>
      </c>
      <c r="AA19">
        <v>352</v>
      </c>
      <c r="AB19" t="s">
        <v>356</v>
      </c>
      <c r="AC19">
        <v>1</v>
      </c>
      <c r="AD19" t="s">
        <v>43</v>
      </c>
      <c r="AE19" t="s">
        <v>48</v>
      </c>
      <c r="AF19" t="s">
        <v>61</v>
      </c>
      <c r="AG19">
        <v>0</v>
      </c>
      <c r="AH19">
        <v>500</v>
      </c>
      <c r="AI19">
        <v>1500</v>
      </c>
      <c r="AJ19">
        <v>1500</v>
      </c>
      <c r="AK19" t="s">
        <v>43</v>
      </c>
      <c r="AL19" t="s">
        <v>49</v>
      </c>
      <c r="AM19" t="s">
        <v>50</v>
      </c>
      <c r="AN19">
        <v>500</v>
      </c>
      <c r="AO19">
        <v>32</v>
      </c>
      <c r="AP19">
        <v>0.67192189214835896</v>
      </c>
      <c r="AQ19">
        <v>0.95679999999999998</v>
      </c>
      <c r="AR19">
        <v>2.2859246982901</v>
      </c>
      <c r="AU19" s="3">
        <v>526</v>
      </c>
      <c r="AV19" s="4">
        <v>64.433000000000007</v>
      </c>
      <c r="AW19" s="3"/>
      <c r="AX19" s="3">
        <v>573</v>
      </c>
      <c r="AY19" s="4">
        <v>75.06</v>
      </c>
      <c r="AZ19" s="3"/>
      <c r="BA19" s="3"/>
      <c r="BE19" t="s">
        <v>345</v>
      </c>
    </row>
    <row r="20" spans="1:57" x14ac:dyDescent="0.2">
      <c r="A20" t="s">
        <v>68</v>
      </c>
      <c r="B20">
        <v>17</v>
      </c>
      <c r="C20">
        <v>5</v>
      </c>
      <c r="D20">
        <v>5</v>
      </c>
      <c r="E20" t="s">
        <v>73</v>
      </c>
      <c r="F20" t="s">
        <v>334</v>
      </c>
      <c r="G20" t="s">
        <v>343</v>
      </c>
      <c r="H20" t="s">
        <v>40</v>
      </c>
      <c r="L20" t="s">
        <v>70</v>
      </c>
      <c r="M20">
        <v>1.9</v>
      </c>
      <c r="N20" t="s">
        <v>42</v>
      </c>
      <c r="O20">
        <v>60</v>
      </c>
      <c r="Q20" t="s">
        <v>50</v>
      </c>
      <c r="R20" t="s">
        <v>50</v>
      </c>
      <c r="S20" t="s">
        <v>50</v>
      </c>
      <c r="T20" t="s">
        <v>43</v>
      </c>
      <c r="U20" t="s">
        <v>44</v>
      </c>
      <c r="V20" t="s">
        <v>45</v>
      </c>
      <c r="W20" t="s">
        <v>71</v>
      </c>
      <c r="X20">
        <v>32</v>
      </c>
      <c r="Y20">
        <v>2</v>
      </c>
      <c r="Z20">
        <v>176</v>
      </c>
      <c r="AA20">
        <v>352</v>
      </c>
      <c r="AB20" t="s">
        <v>356</v>
      </c>
      <c r="AC20">
        <v>1</v>
      </c>
      <c r="AD20" t="s">
        <v>43</v>
      </c>
      <c r="AE20" t="s">
        <v>48</v>
      </c>
      <c r="AF20" t="s">
        <v>61</v>
      </c>
      <c r="AG20">
        <v>0</v>
      </c>
      <c r="AH20">
        <v>500</v>
      </c>
      <c r="AI20">
        <v>1500</v>
      </c>
      <c r="AJ20">
        <v>1500</v>
      </c>
      <c r="AK20" t="s">
        <v>43</v>
      </c>
      <c r="AL20" t="s">
        <v>49</v>
      </c>
      <c r="AM20" t="s">
        <v>50</v>
      </c>
      <c r="AN20">
        <v>500</v>
      </c>
      <c r="AO20">
        <v>32</v>
      </c>
      <c r="AP20">
        <v>0.67765387823342604</v>
      </c>
      <c r="AQ20">
        <v>0.95679999999999998</v>
      </c>
      <c r="AR20">
        <v>2.30542531095836</v>
      </c>
      <c r="AU20" s="3">
        <v>542</v>
      </c>
      <c r="AV20" s="4">
        <v>85.855999999999995</v>
      </c>
      <c r="AW20" s="3"/>
      <c r="AX20" s="3">
        <v>600</v>
      </c>
      <c r="AY20" s="4">
        <v>85.322000000000003</v>
      </c>
      <c r="AZ20" s="3"/>
      <c r="BA20" s="3"/>
      <c r="BE20" t="s">
        <v>345</v>
      </c>
    </row>
    <row r="21" spans="1:57" x14ac:dyDescent="0.2">
      <c r="A21" t="s">
        <v>77</v>
      </c>
      <c r="B21">
        <v>24</v>
      </c>
      <c r="C21">
        <v>6</v>
      </c>
      <c r="D21">
        <v>1</v>
      </c>
      <c r="E21" t="s">
        <v>82</v>
      </c>
      <c r="F21" t="s">
        <v>357</v>
      </c>
      <c r="G21" t="s">
        <v>346</v>
      </c>
      <c r="H21" t="s">
        <v>40</v>
      </c>
      <c r="L21" t="s">
        <v>41</v>
      </c>
      <c r="M21">
        <v>1.9</v>
      </c>
      <c r="N21" t="s">
        <v>42</v>
      </c>
      <c r="O21">
        <v>60</v>
      </c>
      <c r="Q21" t="s">
        <v>50</v>
      </c>
      <c r="R21" t="s">
        <v>50</v>
      </c>
      <c r="S21" t="s">
        <v>43</v>
      </c>
      <c r="T21" t="s">
        <v>43</v>
      </c>
      <c r="U21" t="s">
        <v>56</v>
      </c>
      <c r="V21" t="s">
        <v>45</v>
      </c>
      <c r="W21" t="s">
        <v>46</v>
      </c>
      <c r="X21">
        <v>32</v>
      </c>
      <c r="Y21">
        <v>2</v>
      </c>
      <c r="Z21">
        <v>176</v>
      </c>
      <c r="AA21">
        <v>352</v>
      </c>
      <c r="AB21" t="s">
        <v>356</v>
      </c>
      <c r="AC21">
        <v>1</v>
      </c>
      <c r="AD21" t="s">
        <v>43</v>
      </c>
      <c r="AE21" t="s">
        <v>48</v>
      </c>
      <c r="AF21" t="s">
        <v>61</v>
      </c>
      <c r="AG21">
        <v>0</v>
      </c>
      <c r="AH21">
        <v>1000</v>
      </c>
      <c r="AI21">
        <v>1500</v>
      </c>
      <c r="AJ21">
        <v>1500</v>
      </c>
      <c r="AK21" t="s">
        <v>43</v>
      </c>
      <c r="AL21" t="s">
        <v>49</v>
      </c>
      <c r="AM21" t="s">
        <v>50</v>
      </c>
      <c r="AN21">
        <v>500</v>
      </c>
      <c r="AO21">
        <v>16</v>
      </c>
      <c r="AP21">
        <v>-0.21655261778748799</v>
      </c>
      <c r="AQ21">
        <v>0.95679999999999998</v>
      </c>
      <c r="AR21">
        <v>-0.73672696672680205</v>
      </c>
      <c r="AS21" s="2"/>
      <c r="AU21" s="2">
        <v>452</v>
      </c>
      <c r="AV21" s="2">
        <v>43.91</v>
      </c>
      <c r="AW21" s="2"/>
      <c r="AX21" s="2">
        <v>462</v>
      </c>
      <c r="AY21" s="2">
        <v>48.34</v>
      </c>
      <c r="BE21" t="s">
        <v>345</v>
      </c>
    </row>
    <row r="22" spans="1:57" x14ac:dyDescent="0.2">
      <c r="A22" t="s">
        <v>77</v>
      </c>
      <c r="B22">
        <v>20</v>
      </c>
      <c r="C22">
        <v>6</v>
      </c>
      <c r="D22">
        <v>2</v>
      </c>
      <c r="E22" t="s">
        <v>78</v>
      </c>
      <c r="F22" t="s">
        <v>357</v>
      </c>
      <c r="G22" t="s">
        <v>347</v>
      </c>
      <c r="H22" t="s">
        <v>40</v>
      </c>
      <c r="L22" t="s">
        <v>70</v>
      </c>
      <c r="M22">
        <v>1.9</v>
      </c>
      <c r="N22" t="s">
        <v>42</v>
      </c>
      <c r="O22">
        <v>60</v>
      </c>
      <c r="Q22" t="s">
        <v>50</v>
      </c>
      <c r="R22" t="s">
        <v>50</v>
      </c>
      <c r="S22" t="s">
        <v>43</v>
      </c>
      <c r="T22" t="s">
        <v>43</v>
      </c>
      <c r="U22" t="s">
        <v>56</v>
      </c>
      <c r="V22" t="s">
        <v>45</v>
      </c>
      <c r="W22" t="s">
        <v>46</v>
      </c>
      <c r="X22">
        <v>32</v>
      </c>
      <c r="Y22">
        <v>2</v>
      </c>
      <c r="Z22">
        <v>176</v>
      </c>
      <c r="AA22">
        <v>352</v>
      </c>
      <c r="AB22" t="s">
        <v>356</v>
      </c>
      <c r="AC22">
        <v>1</v>
      </c>
      <c r="AD22" t="s">
        <v>43</v>
      </c>
      <c r="AE22" t="s">
        <v>48</v>
      </c>
      <c r="AF22" t="s">
        <v>61</v>
      </c>
      <c r="AG22">
        <v>0</v>
      </c>
      <c r="AH22">
        <v>1000</v>
      </c>
      <c r="AI22">
        <v>1500</v>
      </c>
      <c r="AJ22">
        <v>1500</v>
      </c>
      <c r="AK22" t="s">
        <v>43</v>
      </c>
      <c r="AL22" t="s">
        <v>49</v>
      </c>
      <c r="AM22" t="s">
        <v>50</v>
      </c>
      <c r="AN22">
        <v>500</v>
      </c>
      <c r="AO22">
        <v>16</v>
      </c>
      <c r="AP22">
        <v>-0.30571294673178001</v>
      </c>
      <c r="AQ22">
        <v>0.95679999999999998</v>
      </c>
      <c r="AR22">
        <v>-1.0400565656326599</v>
      </c>
      <c r="AS22" s="2"/>
      <c r="AU22" s="2">
        <v>469</v>
      </c>
      <c r="AV22" s="2">
        <v>76.67</v>
      </c>
      <c r="AW22" s="2"/>
      <c r="AX22" s="2">
        <v>492</v>
      </c>
      <c r="AY22" s="2">
        <v>73.77</v>
      </c>
      <c r="BE22" t="s">
        <v>345</v>
      </c>
    </row>
    <row r="23" spans="1:57" x14ac:dyDescent="0.2">
      <c r="A23" t="s">
        <v>77</v>
      </c>
      <c r="B23">
        <v>25</v>
      </c>
      <c r="C23">
        <v>6</v>
      </c>
      <c r="D23">
        <v>3</v>
      </c>
      <c r="E23" t="s">
        <v>83</v>
      </c>
      <c r="F23" t="s">
        <v>357</v>
      </c>
      <c r="G23" t="s">
        <v>348</v>
      </c>
      <c r="H23" t="s">
        <v>40</v>
      </c>
      <c r="L23" t="s">
        <v>41</v>
      </c>
      <c r="M23">
        <v>1.9</v>
      </c>
      <c r="N23" t="s">
        <v>42</v>
      </c>
      <c r="O23">
        <v>60</v>
      </c>
      <c r="Q23" t="s">
        <v>50</v>
      </c>
      <c r="R23" t="s">
        <v>50</v>
      </c>
      <c r="S23" t="s">
        <v>43</v>
      </c>
      <c r="T23" t="s">
        <v>43</v>
      </c>
      <c r="U23" t="s">
        <v>44</v>
      </c>
      <c r="V23" t="s">
        <v>45</v>
      </c>
      <c r="W23" t="s">
        <v>46</v>
      </c>
      <c r="X23">
        <v>32</v>
      </c>
      <c r="Y23">
        <v>2</v>
      </c>
      <c r="Z23">
        <v>176</v>
      </c>
      <c r="AA23">
        <v>352</v>
      </c>
      <c r="AB23" t="s">
        <v>356</v>
      </c>
      <c r="AC23">
        <v>1</v>
      </c>
      <c r="AD23" t="s">
        <v>43</v>
      </c>
      <c r="AE23" t="s">
        <v>48</v>
      </c>
      <c r="AF23" t="s">
        <v>61</v>
      </c>
      <c r="AG23">
        <v>0</v>
      </c>
      <c r="AH23">
        <v>1000</v>
      </c>
      <c r="AI23">
        <v>1500</v>
      </c>
      <c r="AJ23">
        <v>1500</v>
      </c>
      <c r="AK23" t="s">
        <v>43</v>
      </c>
      <c r="AL23" t="s">
        <v>49</v>
      </c>
      <c r="AM23" t="s">
        <v>50</v>
      </c>
      <c r="AN23">
        <v>500</v>
      </c>
      <c r="AO23">
        <v>16</v>
      </c>
      <c r="AP23">
        <v>-0.20378624914413099</v>
      </c>
      <c r="AQ23">
        <v>0.95679999999999998</v>
      </c>
      <c r="AR23">
        <v>-0.69329489860945304</v>
      </c>
      <c r="AS23" s="2"/>
      <c r="AU23" s="2">
        <v>491</v>
      </c>
      <c r="AV23" s="2">
        <v>65.209999999999994</v>
      </c>
      <c r="AW23" s="2"/>
      <c r="AX23" s="2">
        <v>505</v>
      </c>
      <c r="AY23" s="2">
        <v>72.02</v>
      </c>
      <c r="BE23" t="s">
        <v>345</v>
      </c>
    </row>
    <row r="24" spans="1:57" x14ac:dyDescent="0.2">
      <c r="A24" t="s">
        <v>77</v>
      </c>
      <c r="B24">
        <v>21</v>
      </c>
      <c r="C24">
        <v>6</v>
      </c>
      <c r="D24">
        <v>4</v>
      </c>
      <c r="E24" t="s">
        <v>79</v>
      </c>
      <c r="F24" t="s">
        <v>357</v>
      </c>
      <c r="G24" t="s">
        <v>349</v>
      </c>
      <c r="H24" t="s">
        <v>40</v>
      </c>
      <c r="L24" t="s">
        <v>70</v>
      </c>
      <c r="M24">
        <v>1.9</v>
      </c>
      <c r="N24" t="s">
        <v>42</v>
      </c>
      <c r="O24">
        <v>60</v>
      </c>
      <c r="Q24" t="s">
        <v>50</v>
      </c>
      <c r="R24" t="s">
        <v>50</v>
      </c>
      <c r="S24" t="s">
        <v>43</v>
      </c>
      <c r="T24" t="s">
        <v>43</v>
      </c>
      <c r="U24" t="s">
        <v>44</v>
      </c>
      <c r="V24" t="s">
        <v>45</v>
      </c>
      <c r="W24" t="s">
        <v>46</v>
      </c>
      <c r="X24">
        <v>32</v>
      </c>
      <c r="Y24">
        <v>2</v>
      </c>
      <c r="Z24">
        <v>176</v>
      </c>
      <c r="AA24">
        <v>352</v>
      </c>
      <c r="AB24" t="s">
        <v>356</v>
      </c>
      <c r="AC24">
        <v>1</v>
      </c>
      <c r="AD24" t="s">
        <v>43</v>
      </c>
      <c r="AE24" t="s">
        <v>48</v>
      </c>
      <c r="AF24" t="s">
        <v>61</v>
      </c>
      <c r="AG24">
        <v>0</v>
      </c>
      <c r="AH24">
        <v>1000</v>
      </c>
      <c r="AI24">
        <v>1500</v>
      </c>
      <c r="AJ24">
        <v>1500</v>
      </c>
      <c r="AK24" t="s">
        <v>43</v>
      </c>
      <c r="AL24" t="s">
        <v>49</v>
      </c>
      <c r="AM24" t="s">
        <v>50</v>
      </c>
      <c r="AN24">
        <v>500</v>
      </c>
      <c r="AO24">
        <v>16</v>
      </c>
      <c r="AP24">
        <v>-0.39238100814423899</v>
      </c>
      <c r="AQ24">
        <v>0.95679999999999998</v>
      </c>
      <c r="AR24">
        <v>-1.3349072982114401</v>
      </c>
      <c r="AS24" s="2"/>
      <c r="AU24" s="2">
        <v>514</v>
      </c>
      <c r="AV24" s="2">
        <v>59.39</v>
      </c>
      <c r="AW24" s="2"/>
      <c r="AX24" s="2">
        <v>538</v>
      </c>
      <c r="AY24" s="2">
        <v>62.89</v>
      </c>
      <c r="BE24" t="s">
        <v>345</v>
      </c>
    </row>
    <row r="25" spans="1:57" x14ac:dyDescent="0.2">
      <c r="A25" t="s">
        <v>77</v>
      </c>
      <c r="B25">
        <v>26</v>
      </c>
      <c r="C25">
        <v>6</v>
      </c>
      <c r="D25">
        <v>5</v>
      </c>
      <c r="E25" t="s">
        <v>84</v>
      </c>
      <c r="F25" t="s">
        <v>357</v>
      </c>
      <c r="G25" t="s">
        <v>352</v>
      </c>
      <c r="H25" t="s">
        <v>40</v>
      </c>
      <c r="L25" t="s">
        <v>41</v>
      </c>
      <c r="M25">
        <v>1.9</v>
      </c>
      <c r="N25" t="s">
        <v>42</v>
      </c>
      <c r="O25">
        <v>60</v>
      </c>
      <c r="Q25" t="s">
        <v>50</v>
      </c>
      <c r="R25" t="s">
        <v>50</v>
      </c>
      <c r="S25" t="s">
        <v>43</v>
      </c>
      <c r="T25" t="s">
        <v>43</v>
      </c>
      <c r="U25" t="s">
        <v>56</v>
      </c>
      <c r="V25" t="s">
        <v>45</v>
      </c>
      <c r="W25" t="s">
        <v>46</v>
      </c>
      <c r="X25">
        <v>32</v>
      </c>
      <c r="Y25">
        <v>2</v>
      </c>
      <c r="Z25">
        <v>176</v>
      </c>
      <c r="AA25">
        <v>352</v>
      </c>
      <c r="AB25" t="s">
        <v>356</v>
      </c>
      <c r="AC25">
        <v>1</v>
      </c>
      <c r="AD25" t="s">
        <v>43</v>
      </c>
      <c r="AE25" t="s">
        <v>48</v>
      </c>
      <c r="AF25" t="s">
        <v>61</v>
      </c>
      <c r="AG25">
        <v>0</v>
      </c>
      <c r="AH25">
        <v>1000</v>
      </c>
      <c r="AI25">
        <v>1500</v>
      </c>
      <c r="AJ25">
        <v>1500</v>
      </c>
      <c r="AK25" t="s">
        <v>43</v>
      </c>
      <c r="AL25" t="s">
        <v>49</v>
      </c>
      <c r="AM25" t="s">
        <v>50</v>
      </c>
      <c r="AN25">
        <v>500</v>
      </c>
      <c r="AO25">
        <v>16</v>
      </c>
      <c r="AP25">
        <v>0.26684457386200799</v>
      </c>
      <c r="AQ25">
        <v>0.95679999999999998</v>
      </c>
      <c r="AR25">
        <v>0.90782367582268997</v>
      </c>
      <c r="AS25" s="2"/>
      <c r="AU25" s="2">
        <v>437</v>
      </c>
      <c r="AV25" s="2">
        <v>52.07</v>
      </c>
      <c r="AW25" s="2"/>
      <c r="AX25" s="2">
        <v>452</v>
      </c>
      <c r="AY25" s="2">
        <v>60.07</v>
      </c>
      <c r="BE25" t="s">
        <v>345</v>
      </c>
    </row>
    <row r="26" spans="1:57" x14ac:dyDescent="0.2">
      <c r="A26" t="s">
        <v>77</v>
      </c>
      <c r="B26">
        <v>22</v>
      </c>
      <c r="C26">
        <v>6</v>
      </c>
      <c r="D26">
        <v>6</v>
      </c>
      <c r="E26" t="s">
        <v>80</v>
      </c>
      <c r="F26" t="s">
        <v>357</v>
      </c>
      <c r="G26" t="s">
        <v>353</v>
      </c>
      <c r="H26" t="s">
        <v>40</v>
      </c>
      <c r="L26" t="s">
        <v>70</v>
      </c>
      <c r="M26">
        <v>1.9</v>
      </c>
      <c r="N26" t="s">
        <v>42</v>
      </c>
      <c r="O26">
        <v>60</v>
      </c>
      <c r="Q26" t="s">
        <v>50</v>
      </c>
      <c r="R26" t="s">
        <v>50</v>
      </c>
      <c r="S26" t="s">
        <v>43</v>
      </c>
      <c r="T26" t="s">
        <v>43</v>
      </c>
      <c r="U26" t="s">
        <v>56</v>
      </c>
      <c r="V26" t="s">
        <v>45</v>
      </c>
      <c r="W26" t="s">
        <v>46</v>
      </c>
      <c r="X26">
        <v>32</v>
      </c>
      <c r="Y26">
        <v>2</v>
      </c>
      <c r="Z26">
        <v>176</v>
      </c>
      <c r="AA26">
        <v>352</v>
      </c>
      <c r="AB26" t="s">
        <v>356</v>
      </c>
      <c r="AC26">
        <v>1</v>
      </c>
      <c r="AD26" t="s">
        <v>43</v>
      </c>
      <c r="AE26" t="s">
        <v>48</v>
      </c>
      <c r="AF26" t="s">
        <v>61</v>
      </c>
      <c r="AG26">
        <v>0</v>
      </c>
      <c r="AH26">
        <v>1000</v>
      </c>
      <c r="AI26">
        <v>1500</v>
      </c>
      <c r="AJ26">
        <v>1500</v>
      </c>
      <c r="AK26" t="s">
        <v>43</v>
      </c>
      <c r="AL26" t="s">
        <v>49</v>
      </c>
      <c r="AM26" t="s">
        <v>50</v>
      </c>
      <c r="AN26">
        <v>500</v>
      </c>
      <c r="AO26">
        <v>16</v>
      </c>
      <c r="AP26">
        <v>0.297872464305594</v>
      </c>
      <c r="AQ26">
        <v>0.95679999999999998</v>
      </c>
      <c r="AR26">
        <v>1.0133827027418101</v>
      </c>
      <c r="AS26" s="2"/>
      <c r="AU26" s="2">
        <v>439</v>
      </c>
      <c r="AV26" s="2">
        <v>57.92</v>
      </c>
      <c r="AW26" s="2"/>
      <c r="AX26" s="2">
        <v>456</v>
      </c>
      <c r="AY26" s="2">
        <v>56.21</v>
      </c>
      <c r="BE26" t="s">
        <v>345</v>
      </c>
    </row>
    <row r="27" spans="1:57" x14ac:dyDescent="0.2">
      <c r="A27" t="s">
        <v>77</v>
      </c>
      <c r="B27">
        <v>27</v>
      </c>
      <c r="C27">
        <v>6</v>
      </c>
      <c r="D27">
        <v>7</v>
      </c>
      <c r="E27" t="s">
        <v>85</v>
      </c>
      <c r="F27" t="s">
        <v>357</v>
      </c>
      <c r="G27" t="s">
        <v>354</v>
      </c>
      <c r="H27" t="s">
        <v>40</v>
      </c>
      <c r="L27" t="s">
        <v>41</v>
      </c>
      <c r="M27">
        <v>1.9</v>
      </c>
      <c r="N27" t="s">
        <v>42</v>
      </c>
      <c r="O27">
        <v>60</v>
      </c>
      <c r="Q27" t="s">
        <v>50</v>
      </c>
      <c r="R27" t="s">
        <v>50</v>
      </c>
      <c r="S27" t="s">
        <v>43</v>
      </c>
      <c r="T27" t="s">
        <v>43</v>
      </c>
      <c r="U27" t="s">
        <v>44</v>
      </c>
      <c r="V27" t="s">
        <v>45</v>
      </c>
      <c r="W27" t="s">
        <v>46</v>
      </c>
      <c r="X27">
        <v>32</v>
      </c>
      <c r="Y27">
        <v>2</v>
      </c>
      <c r="Z27">
        <v>176</v>
      </c>
      <c r="AA27">
        <v>352</v>
      </c>
      <c r="AB27" t="s">
        <v>356</v>
      </c>
      <c r="AC27">
        <v>1</v>
      </c>
      <c r="AD27" t="s">
        <v>43</v>
      </c>
      <c r="AE27" t="s">
        <v>48</v>
      </c>
      <c r="AF27" t="s">
        <v>61</v>
      </c>
      <c r="AG27">
        <v>0</v>
      </c>
      <c r="AH27">
        <v>1000</v>
      </c>
      <c r="AI27">
        <v>1500</v>
      </c>
      <c r="AJ27">
        <v>1500</v>
      </c>
      <c r="AK27" t="s">
        <v>43</v>
      </c>
      <c r="AL27" t="s">
        <v>49</v>
      </c>
      <c r="AM27" t="s">
        <v>50</v>
      </c>
      <c r="AN27">
        <v>500</v>
      </c>
      <c r="AO27">
        <v>16</v>
      </c>
      <c r="AP27">
        <v>0.21127332152235401</v>
      </c>
      <c r="AQ27">
        <v>0.95679999999999998</v>
      </c>
      <c r="AR27">
        <v>0.71876643610102597</v>
      </c>
      <c r="AS27" s="2"/>
      <c r="AU27" s="2">
        <v>494</v>
      </c>
      <c r="AV27" s="2">
        <v>79.61</v>
      </c>
      <c r="AW27" s="2"/>
      <c r="AX27" s="2">
        <v>511</v>
      </c>
      <c r="AY27" s="2">
        <v>81.31</v>
      </c>
      <c r="BE27" t="s">
        <v>345</v>
      </c>
    </row>
    <row r="28" spans="1:57" x14ac:dyDescent="0.2">
      <c r="A28" t="s">
        <v>77</v>
      </c>
      <c r="B28">
        <v>23</v>
      </c>
      <c r="C28">
        <v>6</v>
      </c>
      <c r="D28">
        <v>8</v>
      </c>
      <c r="E28" t="s">
        <v>81</v>
      </c>
      <c r="F28" t="s">
        <v>357</v>
      </c>
      <c r="G28" t="s">
        <v>355</v>
      </c>
      <c r="H28" t="s">
        <v>40</v>
      </c>
      <c r="L28" t="s">
        <v>70</v>
      </c>
      <c r="M28">
        <v>1.9</v>
      </c>
      <c r="N28" t="s">
        <v>42</v>
      </c>
      <c r="O28">
        <v>60</v>
      </c>
      <c r="Q28" t="s">
        <v>50</v>
      </c>
      <c r="R28" t="s">
        <v>50</v>
      </c>
      <c r="S28" t="s">
        <v>43</v>
      </c>
      <c r="T28" t="s">
        <v>43</v>
      </c>
      <c r="U28" t="s">
        <v>44</v>
      </c>
      <c r="V28" t="s">
        <v>45</v>
      </c>
      <c r="W28" t="s">
        <v>46</v>
      </c>
      <c r="X28">
        <v>32</v>
      </c>
      <c r="Y28">
        <v>2</v>
      </c>
      <c r="Z28">
        <v>176</v>
      </c>
      <c r="AA28">
        <v>352</v>
      </c>
      <c r="AB28" t="s">
        <v>356</v>
      </c>
      <c r="AC28">
        <v>1</v>
      </c>
      <c r="AD28" t="s">
        <v>43</v>
      </c>
      <c r="AE28" t="s">
        <v>48</v>
      </c>
      <c r="AF28" t="s">
        <v>61</v>
      </c>
      <c r="AG28">
        <v>0</v>
      </c>
      <c r="AH28">
        <v>1000</v>
      </c>
      <c r="AI28">
        <v>1500</v>
      </c>
      <c r="AJ28">
        <v>1500</v>
      </c>
      <c r="AK28" t="s">
        <v>43</v>
      </c>
      <c r="AL28" t="s">
        <v>49</v>
      </c>
      <c r="AM28" t="s">
        <v>50</v>
      </c>
      <c r="AN28">
        <v>500</v>
      </c>
      <c r="AO28">
        <v>16</v>
      </c>
      <c r="AP28">
        <v>0.30987682113605403</v>
      </c>
      <c r="AQ28">
        <v>0.95679999999999998</v>
      </c>
      <c r="AR28">
        <v>1.0542223540264199</v>
      </c>
      <c r="AS28" s="2"/>
      <c r="AU28" s="2">
        <v>484</v>
      </c>
      <c r="AV28" s="2">
        <v>51.62</v>
      </c>
      <c r="AW28" s="2"/>
      <c r="AX28" s="2">
        <v>501</v>
      </c>
      <c r="AY28" s="2">
        <v>57.92</v>
      </c>
      <c r="BE28" t="s">
        <v>345</v>
      </c>
    </row>
    <row r="29" spans="1:57" x14ac:dyDescent="0.2">
      <c r="A29" t="s">
        <v>77</v>
      </c>
      <c r="B29">
        <v>28</v>
      </c>
      <c r="C29">
        <v>6</v>
      </c>
      <c r="D29">
        <v>9</v>
      </c>
      <c r="E29" t="s">
        <v>86</v>
      </c>
      <c r="F29" t="s">
        <v>357</v>
      </c>
      <c r="G29" t="s">
        <v>350</v>
      </c>
      <c r="H29" t="s">
        <v>40</v>
      </c>
      <c r="L29" t="s">
        <v>41</v>
      </c>
      <c r="M29">
        <v>1.9</v>
      </c>
      <c r="N29" t="s">
        <v>42</v>
      </c>
      <c r="O29">
        <v>60</v>
      </c>
      <c r="Q29" t="s">
        <v>50</v>
      </c>
      <c r="R29" t="s">
        <v>50</v>
      </c>
      <c r="S29" t="s">
        <v>43</v>
      </c>
      <c r="T29" t="s">
        <v>43</v>
      </c>
      <c r="U29" t="s">
        <v>56</v>
      </c>
      <c r="V29" t="s">
        <v>45</v>
      </c>
      <c r="W29" t="s">
        <v>46</v>
      </c>
      <c r="X29">
        <v>32</v>
      </c>
      <c r="Y29">
        <v>2</v>
      </c>
      <c r="Z29">
        <v>176</v>
      </c>
      <c r="AA29">
        <v>352</v>
      </c>
      <c r="AB29" t="s">
        <v>47</v>
      </c>
      <c r="AC29">
        <v>1</v>
      </c>
      <c r="AD29" t="s">
        <v>43</v>
      </c>
      <c r="AE29" t="s">
        <v>48</v>
      </c>
      <c r="AF29" t="s">
        <v>61</v>
      </c>
      <c r="AG29">
        <v>0</v>
      </c>
      <c r="AH29">
        <v>1000</v>
      </c>
      <c r="AI29">
        <v>1500</v>
      </c>
      <c r="AJ29">
        <v>1500</v>
      </c>
      <c r="AK29" t="s">
        <v>43</v>
      </c>
      <c r="AL29" t="s">
        <v>49</v>
      </c>
      <c r="AM29" t="s">
        <v>50</v>
      </c>
      <c r="AN29">
        <v>500</v>
      </c>
      <c r="AO29">
        <v>16</v>
      </c>
      <c r="AP29">
        <v>0.54115404383809096</v>
      </c>
      <c r="AQ29">
        <v>0.95679999999999998</v>
      </c>
      <c r="AR29">
        <v>1.84104344395422</v>
      </c>
      <c r="AS29" s="2"/>
      <c r="AU29" s="2">
        <v>419</v>
      </c>
      <c r="AV29" s="2">
        <v>58.71</v>
      </c>
      <c r="AW29" s="2"/>
      <c r="AX29" s="2">
        <v>452</v>
      </c>
      <c r="AY29" s="2">
        <v>63.17</v>
      </c>
      <c r="BE29" t="s">
        <v>345</v>
      </c>
    </row>
    <row r="30" spans="1:57" x14ac:dyDescent="0.2">
      <c r="A30" t="s">
        <v>77</v>
      </c>
      <c r="B30">
        <v>29</v>
      </c>
      <c r="C30">
        <v>6</v>
      </c>
      <c r="D30">
        <v>10</v>
      </c>
      <c r="E30" t="s">
        <v>87</v>
      </c>
      <c r="F30" t="s">
        <v>357</v>
      </c>
      <c r="G30" t="s">
        <v>351</v>
      </c>
      <c r="H30" t="s">
        <v>40</v>
      </c>
      <c r="L30" t="s">
        <v>41</v>
      </c>
      <c r="M30">
        <v>1.9</v>
      </c>
      <c r="N30" t="s">
        <v>42</v>
      </c>
      <c r="O30">
        <v>60</v>
      </c>
      <c r="Q30" t="s">
        <v>50</v>
      </c>
      <c r="R30" t="s">
        <v>50</v>
      </c>
      <c r="S30" t="s">
        <v>43</v>
      </c>
      <c r="T30" t="s">
        <v>43</v>
      </c>
      <c r="U30" t="s">
        <v>56</v>
      </c>
      <c r="V30" t="s">
        <v>45</v>
      </c>
      <c r="W30" t="s">
        <v>46</v>
      </c>
      <c r="X30">
        <v>32</v>
      </c>
      <c r="Y30">
        <v>2</v>
      </c>
      <c r="Z30">
        <v>176</v>
      </c>
      <c r="AA30">
        <v>352</v>
      </c>
      <c r="AB30" t="s">
        <v>47</v>
      </c>
      <c r="AC30">
        <v>1</v>
      </c>
      <c r="AD30" t="s">
        <v>43</v>
      </c>
      <c r="AE30" t="s">
        <v>48</v>
      </c>
      <c r="AF30" t="s">
        <v>54</v>
      </c>
      <c r="AG30">
        <v>0</v>
      </c>
      <c r="AH30">
        <v>1000</v>
      </c>
      <c r="AI30">
        <v>1500</v>
      </c>
      <c r="AJ30">
        <v>1500</v>
      </c>
      <c r="AK30" t="s">
        <v>43</v>
      </c>
      <c r="AL30" t="s">
        <v>49</v>
      </c>
      <c r="AM30" t="s">
        <v>50</v>
      </c>
      <c r="AN30">
        <v>500</v>
      </c>
      <c r="AO30">
        <v>16</v>
      </c>
      <c r="AP30">
        <v>-0.13163027381405501</v>
      </c>
      <c r="AQ30">
        <v>0.95679999999999998</v>
      </c>
      <c r="AR30">
        <v>-0.44781528548231903</v>
      </c>
      <c r="AS30" s="2"/>
      <c r="AU30" s="2">
        <v>417</v>
      </c>
      <c r="AV30" s="2">
        <v>69.709999999999994</v>
      </c>
      <c r="AW30" s="2"/>
      <c r="AX30" s="2">
        <v>408</v>
      </c>
      <c r="AY30" s="2">
        <v>67.010000000000005</v>
      </c>
      <c r="BE30" t="s">
        <v>345</v>
      </c>
    </row>
    <row r="31" spans="1:57" x14ac:dyDescent="0.2">
      <c r="A31" t="s">
        <v>88</v>
      </c>
      <c r="B31">
        <v>30</v>
      </c>
      <c r="D31" t="s">
        <v>89</v>
      </c>
      <c r="E31" t="s">
        <v>90</v>
      </c>
      <c r="H31" t="s">
        <v>40</v>
      </c>
      <c r="L31" t="s">
        <v>41</v>
      </c>
      <c r="M31">
        <v>1.9</v>
      </c>
      <c r="N31" t="s">
        <v>42</v>
      </c>
      <c r="O31">
        <v>60</v>
      </c>
      <c r="Q31" t="s">
        <v>50</v>
      </c>
      <c r="R31" t="s">
        <v>50</v>
      </c>
      <c r="S31" t="s">
        <v>43</v>
      </c>
      <c r="T31" t="s">
        <v>43</v>
      </c>
      <c r="U31" t="s">
        <v>91</v>
      </c>
      <c r="V31" t="s">
        <v>45</v>
      </c>
      <c r="W31" t="s">
        <v>46</v>
      </c>
      <c r="X31">
        <v>16</v>
      </c>
      <c r="Y31">
        <v>2</v>
      </c>
      <c r="Z31">
        <v>176</v>
      </c>
      <c r="AA31">
        <v>352</v>
      </c>
      <c r="AB31" t="s">
        <v>47</v>
      </c>
      <c r="AC31">
        <v>2</v>
      </c>
      <c r="AD31" t="s">
        <v>43</v>
      </c>
      <c r="AE31" t="s">
        <v>48</v>
      </c>
      <c r="AF31" t="s">
        <v>54</v>
      </c>
      <c r="AG31">
        <v>0</v>
      </c>
      <c r="AH31">
        <v>1000</v>
      </c>
      <c r="AI31">
        <v>1500</v>
      </c>
      <c r="AJ31">
        <v>1500</v>
      </c>
      <c r="AK31" t="s">
        <v>43</v>
      </c>
      <c r="AL31" t="s">
        <v>49</v>
      </c>
      <c r="AM31" t="s">
        <v>50</v>
      </c>
      <c r="AN31">
        <v>500</v>
      </c>
      <c r="AO31">
        <v>20</v>
      </c>
      <c r="AP31">
        <v>2.38700414295955E-2</v>
      </c>
      <c r="AQ31">
        <v>0.95679999999999998</v>
      </c>
      <c r="AR31">
        <v>8.1207530057782806E-2</v>
      </c>
    </row>
    <row r="32" spans="1:57" x14ac:dyDescent="0.2">
      <c r="A32" t="s">
        <v>88</v>
      </c>
      <c r="B32">
        <v>31</v>
      </c>
      <c r="D32" t="s">
        <v>92</v>
      </c>
      <c r="E32" t="s">
        <v>93</v>
      </c>
      <c r="H32" t="s">
        <v>40</v>
      </c>
      <c r="L32" t="s">
        <v>41</v>
      </c>
      <c r="M32">
        <v>1.9</v>
      </c>
      <c r="N32" t="s">
        <v>42</v>
      </c>
      <c r="O32">
        <v>60</v>
      </c>
      <c r="Q32" t="s">
        <v>50</v>
      </c>
      <c r="R32" t="s">
        <v>50</v>
      </c>
      <c r="S32" t="s">
        <v>43</v>
      </c>
      <c r="T32" t="s">
        <v>50</v>
      </c>
      <c r="U32" t="s">
        <v>91</v>
      </c>
      <c r="V32" t="s">
        <v>45</v>
      </c>
      <c r="W32" t="s">
        <v>46</v>
      </c>
      <c r="X32">
        <v>16</v>
      </c>
      <c r="Y32">
        <v>2</v>
      </c>
      <c r="Z32">
        <v>176</v>
      </c>
      <c r="AA32">
        <v>352</v>
      </c>
      <c r="AB32" t="s">
        <v>47</v>
      </c>
      <c r="AC32">
        <v>2</v>
      </c>
      <c r="AD32" t="s">
        <v>43</v>
      </c>
      <c r="AE32" t="s">
        <v>48</v>
      </c>
      <c r="AF32" t="s">
        <v>54</v>
      </c>
      <c r="AG32">
        <v>0</v>
      </c>
      <c r="AH32">
        <v>1000</v>
      </c>
      <c r="AI32">
        <v>1500</v>
      </c>
      <c r="AJ32">
        <v>1500</v>
      </c>
      <c r="AK32" t="s">
        <v>43</v>
      </c>
      <c r="AL32" t="s">
        <v>49</v>
      </c>
      <c r="AM32" t="s">
        <v>50</v>
      </c>
      <c r="AN32">
        <v>500</v>
      </c>
      <c r="AO32">
        <v>20</v>
      </c>
      <c r="AP32">
        <v>2.54033834517692E-2</v>
      </c>
      <c r="AQ32">
        <v>0.95679999999999998</v>
      </c>
      <c r="AR32">
        <v>8.6424065551523196E-2</v>
      </c>
    </row>
    <row r="33" spans="1:57" x14ac:dyDescent="0.2">
      <c r="A33" t="s">
        <v>88</v>
      </c>
      <c r="B33">
        <v>32</v>
      </c>
      <c r="D33" t="s">
        <v>94</v>
      </c>
      <c r="E33" t="s">
        <v>95</v>
      </c>
      <c r="H33" t="s">
        <v>40</v>
      </c>
      <c r="J33">
        <v>0.52500000000000002</v>
      </c>
      <c r="L33" t="s">
        <v>41</v>
      </c>
      <c r="M33">
        <v>1.9</v>
      </c>
      <c r="N33" t="s">
        <v>42</v>
      </c>
      <c r="O33">
        <v>60</v>
      </c>
      <c r="Q33" t="s">
        <v>50</v>
      </c>
      <c r="R33" t="s">
        <v>50</v>
      </c>
      <c r="S33" t="s">
        <v>43</v>
      </c>
      <c r="T33" t="s">
        <v>43</v>
      </c>
      <c r="U33" t="s">
        <v>56</v>
      </c>
      <c r="V33" t="s">
        <v>45</v>
      </c>
      <c r="W33" t="s">
        <v>46</v>
      </c>
      <c r="X33">
        <v>16</v>
      </c>
      <c r="Y33">
        <v>2</v>
      </c>
      <c r="Z33">
        <v>176</v>
      </c>
      <c r="AA33">
        <v>352</v>
      </c>
      <c r="AB33" t="s">
        <v>47</v>
      </c>
      <c r="AC33">
        <v>2</v>
      </c>
      <c r="AD33" t="s">
        <v>43</v>
      </c>
      <c r="AE33" t="s">
        <v>48</v>
      </c>
      <c r="AF33" t="s">
        <v>54</v>
      </c>
      <c r="AG33">
        <v>0</v>
      </c>
      <c r="AH33">
        <v>1000</v>
      </c>
      <c r="AI33">
        <v>1500</v>
      </c>
      <c r="AJ33">
        <v>1500</v>
      </c>
      <c r="AK33" t="s">
        <v>43</v>
      </c>
      <c r="AL33" t="s">
        <v>49</v>
      </c>
      <c r="AM33" t="s">
        <v>50</v>
      </c>
      <c r="AN33">
        <v>500</v>
      </c>
      <c r="AO33">
        <v>40</v>
      </c>
      <c r="AP33">
        <v>-0.12805385335779201</v>
      </c>
      <c r="AQ33">
        <v>0.95679999999999998</v>
      </c>
      <c r="AR33">
        <v>-0.43564805600524098</v>
      </c>
    </row>
    <row r="34" spans="1:57" x14ac:dyDescent="0.2">
      <c r="A34" t="s">
        <v>88</v>
      </c>
      <c r="B34">
        <v>33</v>
      </c>
      <c r="D34" t="s">
        <v>96</v>
      </c>
      <c r="E34" t="s">
        <v>97</v>
      </c>
      <c r="H34" t="s">
        <v>40</v>
      </c>
      <c r="J34">
        <v>0.52500000000000002</v>
      </c>
      <c r="L34" t="s">
        <v>41</v>
      </c>
      <c r="M34">
        <v>1.9</v>
      </c>
      <c r="N34" t="s">
        <v>42</v>
      </c>
      <c r="O34">
        <v>60</v>
      </c>
      <c r="Q34" t="s">
        <v>50</v>
      </c>
      <c r="R34" t="s">
        <v>50</v>
      </c>
      <c r="S34" t="s">
        <v>43</v>
      </c>
      <c r="T34" t="s">
        <v>43</v>
      </c>
      <c r="U34" t="s">
        <v>91</v>
      </c>
      <c r="V34" t="s">
        <v>45</v>
      </c>
      <c r="W34" t="s">
        <v>46</v>
      </c>
      <c r="X34">
        <v>16</v>
      </c>
      <c r="Y34">
        <v>2</v>
      </c>
      <c r="Z34">
        <v>176</v>
      </c>
      <c r="AA34">
        <v>352</v>
      </c>
      <c r="AB34" t="s">
        <v>47</v>
      </c>
      <c r="AC34">
        <v>2</v>
      </c>
      <c r="AD34" t="s">
        <v>43</v>
      </c>
      <c r="AE34" t="s">
        <v>48</v>
      </c>
      <c r="AF34" t="s">
        <v>54</v>
      </c>
      <c r="AG34">
        <v>0</v>
      </c>
      <c r="AH34">
        <v>1000</v>
      </c>
      <c r="AI34">
        <v>1500</v>
      </c>
      <c r="AJ34">
        <v>1500</v>
      </c>
      <c r="AK34" t="s">
        <v>43</v>
      </c>
      <c r="AL34" t="s">
        <v>49</v>
      </c>
      <c r="AM34" t="s">
        <v>50</v>
      </c>
      <c r="AN34">
        <v>500</v>
      </c>
      <c r="AO34">
        <v>40</v>
      </c>
      <c r="AP34">
        <v>8.3221875136703996E-3</v>
      </c>
      <c r="AQ34">
        <v>0.95679999999999998</v>
      </c>
      <c r="AR34">
        <v>2.83126568781304E-2</v>
      </c>
    </row>
    <row r="35" spans="1:57" x14ac:dyDescent="0.2">
      <c r="A35" t="s">
        <v>88</v>
      </c>
      <c r="B35">
        <v>34</v>
      </c>
      <c r="D35" t="s">
        <v>98</v>
      </c>
      <c r="E35" t="s">
        <v>99</v>
      </c>
      <c r="H35" t="s">
        <v>40</v>
      </c>
      <c r="J35">
        <v>0.85</v>
      </c>
      <c r="L35" t="s">
        <v>41</v>
      </c>
      <c r="M35">
        <v>1.9</v>
      </c>
      <c r="N35" t="s">
        <v>42</v>
      </c>
      <c r="O35">
        <v>60</v>
      </c>
      <c r="Q35" t="s">
        <v>50</v>
      </c>
      <c r="R35" t="s">
        <v>50</v>
      </c>
      <c r="S35" t="s">
        <v>43</v>
      </c>
      <c r="T35" t="s">
        <v>43</v>
      </c>
      <c r="U35" t="s">
        <v>56</v>
      </c>
      <c r="V35" t="s">
        <v>45</v>
      </c>
      <c r="W35" t="s">
        <v>46</v>
      </c>
      <c r="X35">
        <v>16</v>
      </c>
      <c r="Y35">
        <v>2</v>
      </c>
      <c r="Z35">
        <v>176</v>
      </c>
      <c r="AA35">
        <v>352</v>
      </c>
      <c r="AB35" t="s">
        <v>47</v>
      </c>
      <c r="AC35">
        <v>2</v>
      </c>
      <c r="AD35" t="s">
        <v>43</v>
      </c>
      <c r="AE35" t="s">
        <v>48</v>
      </c>
      <c r="AF35" t="s">
        <v>54</v>
      </c>
      <c r="AG35">
        <v>0</v>
      </c>
      <c r="AH35">
        <v>1000</v>
      </c>
      <c r="AI35">
        <v>1500</v>
      </c>
      <c r="AJ35">
        <v>1500</v>
      </c>
      <c r="AK35" t="s">
        <v>43</v>
      </c>
      <c r="AL35" t="s">
        <v>49</v>
      </c>
      <c r="AM35" t="s">
        <v>50</v>
      </c>
      <c r="AN35">
        <v>500</v>
      </c>
      <c r="AO35">
        <v>20</v>
      </c>
      <c r="AP35">
        <v>-0.16157107586800001</v>
      </c>
      <c r="AQ35">
        <v>0.95679999999999998</v>
      </c>
      <c r="AR35">
        <v>-0.54967596259598395</v>
      </c>
    </row>
    <row r="36" spans="1:57" x14ac:dyDescent="0.2">
      <c r="A36" t="s">
        <v>88</v>
      </c>
      <c r="B36">
        <v>35</v>
      </c>
      <c r="D36" t="s">
        <v>100</v>
      </c>
      <c r="E36" t="s">
        <v>101</v>
      </c>
      <c r="H36" t="s">
        <v>40</v>
      </c>
      <c r="L36" t="s">
        <v>41</v>
      </c>
      <c r="M36">
        <v>1.9</v>
      </c>
      <c r="N36" t="s">
        <v>42</v>
      </c>
      <c r="O36">
        <v>60</v>
      </c>
      <c r="Q36" t="s">
        <v>50</v>
      </c>
      <c r="R36" t="s">
        <v>50</v>
      </c>
      <c r="S36" t="s">
        <v>43</v>
      </c>
      <c r="T36" t="s">
        <v>43</v>
      </c>
      <c r="U36" t="s">
        <v>91</v>
      </c>
      <c r="V36" t="s">
        <v>45</v>
      </c>
      <c r="W36" t="s">
        <v>46</v>
      </c>
      <c r="X36">
        <v>16</v>
      </c>
      <c r="Y36">
        <v>2</v>
      </c>
      <c r="Z36">
        <v>176</v>
      </c>
      <c r="AA36">
        <v>352</v>
      </c>
      <c r="AB36" t="s">
        <v>47</v>
      </c>
      <c r="AC36">
        <v>2</v>
      </c>
      <c r="AD36" t="s">
        <v>43</v>
      </c>
      <c r="AE36" t="s">
        <v>48</v>
      </c>
      <c r="AF36" t="s">
        <v>54</v>
      </c>
      <c r="AG36">
        <v>0</v>
      </c>
      <c r="AH36">
        <v>1000</v>
      </c>
      <c r="AI36">
        <v>1500</v>
      </c>
      <c r="AJ36">
        <v>1500</v>
      </c>
      <c r="AK36" t="s">
        <v>43</v>
      </c>
      <c r="AL36" t="s">
        <v>49</v>
      </c>
      <c r="AM36" t="s">
        <v>50</v>
      </c>
      <c r="AN36">
        <v>500</v>
      </c>
      <c r="AO36">
        <v>20</v>
      </c>
      <c r="AP36">
        <v>6.2080935798193203E-2</v>
      </c>
      <c r="AQ36">
        <v>0.95679999999999998</v>
      </c>
      <c r="AR36">
        <v>0.21120363258340999</v>
      </c>
    </row>
    <row r="37" spans="1:57" x14ac:dyDescent="0.2">
      <c r="A37" t="s">
        <v>102</v>
      </c>
      <c r="B37">
        <v>36</v>
      </c>
      <c r="D37" t="s">
        <v>103</v>
      </c>
      <c r="E37" t="s">
        <v>104</v>
      </c>
      <c r="H37" t="s">
        <v>40</v>
      </c>
      <c r="I37">
        <v>22.92</v>
      </c>
      <c r="J37">
        <v>0.29166666666666702</v>
      </c>
      <c r="K37">
        <v>1</v>
      </c>
      <c r="L37" t="s">
        <v>41</v>
      </c>
      <c r="M37">
        <v>28.6</v>
      </c>
      <c r="N37" t="s">
        <v>42</v>
      </c>
      <c r="O37">
        <v>60</v>
      </c>
      <c r="Q37" t="s">
        <v>50</v>
      </c>
      <c r="R37" t="s">
        <v>50</v>
      </c>
      <c r="S37" t="s">
        <v>43</v>
      </c>
      <c r="T37" t="s">
        <v>43</v>
      </c>
      <c r="U37" t="s">
        <v>44</v>
      </c>
      <c r="V37" t="s">
        <v>45</v>
      </c>
      <c r="W37" t="s">
        <v>46</v>
      </c>
      <c r="X37">
        <v>10</v>
      </c>
      <c r="Y37">
        <v>1</v>
      </c>
      <c r="Z37">
        <v>144</v>
      </c>
      <c r="AA37">
        <v>144</v>
      </c>
      <c r="AB37" t="s">
        <v>47</v>
      </c>
      <c r="AC37">
        <v>9</v>
      </c>
      <c r="AD37" t="s">
        <v>43</v>
      </c>
      <c r="AE37" t="s">
        <v>48</v>
      </c>
      <c r="AG37">
        <v>250</v>
      </c>
      <c r="AH37">
        <v>100</v>
      </c>
      <c r="AI37">
        <v>2000</v>
      </c>
      <c r="AJ37">
        <v>2000</v>
      </c>
      <c r="AK37" t="s">
        <v>43</v>
      </c>
      <c r="AL37" t="s">
        <v>49</v>
      </c>
      <c r="AM37" t="s">
        <v>50</v>
      </c>
      <c r="AO37">
        <v>21</v>
      </c>
      <c r="AP37">
        <v>0.28817562804535102</v>
      </c>
      <c r="AQ37">
        <v>0.95679999999999998</v>
      </c>
      <c r="AR37">
        <v>0.98039339585720597</v>
      </c>
    </row>
    <row r="38" spans="1:57" x14ac:dyDescent="0.2">
      <c r="A38" t="s">
        <v>102</v>
      </c>
      <c r="B38">
        <v>37</v>
      </c>
      <c r="D38" t="s">
        <v>105</v>
      </c>
      <c r="E38" t="s">
        <v>106</v>
      </c>
      <c r="H38" t="s">
        <v>40</v>
      </c>
      <c r="I38">
        <v>20.68</v>
      </c>
      <c r="J38">
        <v>0.36</v>
      </c>
      <c r="K38">
        <v>1</v>
      </c>
      <c r="L38" t="s">
        <v>41</v>
      </c>
      <c r="M38">
        <v>28.6</v>
      </c>
      <c r="N38" t="s">
        <v>42</v>
      </c>
      <c r="O38">
        <v>60</v>
      </c>
      <c r="Q38" t="s">
        <v>43</v>
      </c>
      <c r="R38" t="s">
        <v>43</v>
      </c>
      <c r="S38" t="s">
        <v>43</v>
      </c>
      <c r="T38" t="s">
        <v>43</v>
      </c>
      <c r="U38" t="s">
        <v>44</v>
      </c>
      <c r="V38" t="s">
        <v>45</v>
      </c>
      <c r="W38" t="s">
        <v>46</v>
      </c>
      <c r="X38">
        <v>10</v>
      </c>
      <c r="Y38">
        <v>1</v>
      </c>
      <c r="Z38">
        <v>144</v>
      </c>
      <c r="AA38">
        <v>144</v>
      </c>
      <c r="AB38" t="s">
        <v>47</v>
      </c>
      <c r="AC38">
        <v>8</v>
      </c>
      <c r="AD38" t="s">
        <v>43</v>
      </c>
      <c r="AE38" t="s">
        <v>48</v>
      </c>
      <c r="AG38">
        <v>250</v>
      </c>
      <c r="AH38">
        <v>100</v>
      </c>
      <c r="AI38">
        <v>2000</v>
      </c>
      <c r="AJ38">
        <v>2000</v>
      </c>
      <c r="AK38" t="s">
        <v>43</v>
      </c>
      <c r="AL38" t="s">
        <v>49</v>
      </c>
      <c r="AM38" t="s">
        <v>50</v>
      </c>
      <c r="AO38">
        <v>23</v>
      </c>
      <c r="AP38">
        <v>0.73950519820504701</v>
      </c>
      <c r="AQ38">
        <v>0.95679999999999998</v>
      </c>
      <c r="AR38">
        <v>2.51584777463626</v>
      </c>
    </row>
    <row r="39" spans="1:57" x14ac:dyDescent="0.2">
      <c r="A39" t="s">
        <v>107</v>
      </c>
      <c r="B39">
        <v>38</v>
      </c>
      <c r="D39" t="s">
        <v>108</v>
      </c>
      <c r="E39" t="s">
        <v>109</v>
      </c>
      <c r="H39" t="s">
        <v>40</v>
      </c>
      <c r="I39">
        <v>66</v>
      </c>
      <c r="J39">
        <v>0.54166666666666696</v>
      </c>
      <c r="K39">
        <v>0.83333333333333304</v>
      </c>
      <c r="L39" t="s">
        <v>41</v>
      </c>
      <c r="N39" t="s">
        <v>42</v>
      </c>
      <c r="Q39" t="s">
        <v>43</v>
      </c>
      <c r="R39" t="s">
        <v>43</v>
      </c>
      <c r="S39" t="s">
        <v>43</v>
      </c>
      <c r="T39" t="s">
        <v>50</v>
      </c>
      <c r="U39" t="s">
        <v>56</v>
      </c>
      <c r="V39" t="s">
        <v>45</v>
      </c>
      <c r="W39" t="s">
        <v>46</v>
      </c>
      <c r="X39">
        <v>24</v>
      </c>
      <c r="Y39">
        <v>4</v>
      </c>
      <c r="Z39">
        <v>48</v>
      </c>
      <c r="AA39">
        <v>192</v>
      </c>
      <c r="AB39" t="s">
        <v>47</v>
      </c>
      <c r="AC39">
        <v>1</v>
      </c>
      <c r="AD39" t="s">
        <v>43</v>
      </c>
      <c r="AE39" t="s">
        <v>48</v>
      </c>
      <c r="AG39">
        <v>2250</v>
      </c>
      <c r="AH39">
        <v>0</v>
      </c>
      <c r="AI39">
        <v>2200</v>
      </c>
      <c r="AJ39">
        <v>1700</v>
      </c>
      <c r="AK39" t="s">
        <v>43</v>
      </c>
      <c r="AL39" t="s">
        <v>49</v>
      </c>
      <c r="AM39" t="s">
        <v>50</v>
      </c>
      <c r="AN39">
        <v>2000</v>
      </c>
      <c r="AO39">
        <v>24</v>
      </c>
      <c r="AP39">
        <v>0.66764501388223196</v>
      </c>
      <c r="AQ39">
        <v>0.95679999999999998</v>
      </c>
      <c r="AR39">
        <v>2.2713744629511901</v>
      </c>
    </row>
    <row r="40" spans="1:57" x14ac:dyDescent="0.2">
      <c r="A40" t="s">
        <v>110</v>
      </c>
      <c r="B40">
        <v>39</v>
      </c>
      <c r="D40" t="s">
        <v>111</v>
      </c>
      <c r="E40" t="s">
        <v>112</v>
      </c>
      <c r="H40" t="s">
        <v>40</v>
      </c>
      <c r="I40">
        <v>20</v>
      </c>
      <c r="J40">
        <v>0.371428571428571</v>
      </c>
      <c r="K40">
        <v>1</v>
      </c>
      <c r="L40" t="s">
        <v>41</v>
      </c>
      <c r="N40" t="s">
        <v>42</v>
      </c>
      <c r="Q40" t="s">
        <v>50</v>
      </c>
      <c r="R40" t="s">
        <v>43</v>
      </c>
      <c r="S40" t="s">
        <v>43</v>
      </c>
      <c r="T40" t="s">
        <v>43</v>
      </c>
      <c r="U40" t="s">
        <v>91</v>
      </c>
      <c r="V40" t="s">
        <v>45</v>
      </c>
      <c r="W40" t="s">
        <v>71</v>
      </c>
      <c r="Y40">
        <v>6</v>
      </c>
      <c r="Z40">
        <v>84</v>
      </c>
      <c r="AA40">
        <v>504</v>
      </c>
      <c r="AB40" t="s">
        <v>47</v>
      </c>
      <c r="AC40">
        <v>42</v>
      </c>
      <c r="AD40" t="s">
        <v>43</v>
      </c>
      <c r="AE40" t="s">
        <v>48</v>
      </c>
      <c r="AG40">
        <v>1100</v>
      </c>
      <c r="AH40">
        <v>1900</v>
      </c>
      <c r="AI40">
        <v>2000</v>
      </c>
      <c r="AJ40">
        <v>2000</v>
      </c>
      <c r="AK40" t="s">
        <v>43</v>
      </c>
      <c r="AL40" t="s">
        <v>49</v>
      </c>
      <c r="AM40" t="s">
        <v>43</v>
      </c>
      <c r="AN40">
        <v>0</v>
      </c>
      <c r="AO40">
        <v>64</v>
      </c>
      <c r="AP40">
        <v>9.3890894127172997E-2</v>
      </c>
      <c r="AQ40">
        <v>0.95679999999999998</v>
      </c>
      <c r="AR40">
        <v>0.319423308479516</v>
      </c>
    </row>
    <row r="41" spans="1:57" x14ac:dyDescent="0.2">
      <c r="A41" t="s">
        <v>113</v>
      </c>
      <c r="B41">
        <v>40</v>
      </c>
      <c r="D41" t="s">
        <v>114</v>
      </c>
      <c r="E41" t="s">
        <v>115</v>
      </c>
      <c r="F41" t="s">
        <v>330</v>
      </c>
      <c r="G41" t="s">
        <v>325</v>
      </c>
      <c r="H41" t="s">
        <v>40</v>
      </c>
      <c r="I41">
        <v>20.28</v>
      </c>
      <c r="J41">
        <v>0.24444444444444399</v>
      </c>
      <c r="K41">
        <v>1</v>
      </c>
      <c r="L41" t="s">
        <v>41</v>
      </c>
      <c r="M41">
        <v>17.100000000000001</v>
      </c>
      <c r="N41" t="s">
        <v>42</v>
      </c>
      <c r="O41">
        <v>60</v>
      </c>
      <c r="Q41" t="s">
        <v>50</v>
      </c>
      <c r="R41" t="s">
        <v>50</v>
      </c>
      <c r="S41" t="s">
        <v>43</v>
      </c>
      <c r="T41" t="s">
        <v>43</v>
      </c>
      <c r="U41" t="s">
        <v>44</v>
      </c>
      <c r="V41" t="s">
        <v>45</v>
      </c>
      <c r="W41" t="s">
        <v>46</v>
      </c>
      <c r="X41">
        <v>8</v>
      </c>
      <c r="Y41">
        <v>3</v>
      </c>
      <c r="Z41">
        <v>64</v>
      </c>
      <c r="AA41">
        <v>192</v>
      </c>
      <c r="AB41" t="s">
        <v>47</v>
      </c>
      <c r="AC41">
        <v>4</v>
      </c>
      <c r="AD41" t="s">
        <v>43</v>
      </c>
      <c r="AE41" t="s">
        <v>48</v>
      </c>
      <c r="AG41">
        <v>1000</v>
      </c>
      <c r="AH41">
        <v>600</v>
      </c>
      <c r="AI41">
        <v>3000</v>
      </c>
      <c r="AJ41">
        <v>3000</v>
      </c>
      <c r="AK41" t="s">
        <v>43</v>
      </c>
      <c r="AL41" t="s">
        <v>49</v>
      </c>
      <c r="AM41" t="s">
        <v>43</v>
      </c>
      <c r="AN41">
        <v>0</v>
      </c>
      <c r="AO41">
        <v>30</v>
      </c>
      <c r="AP41">
        <v>0.223345990245743</v>
      </c>
      <c r="AQ41">
        <v>0.95679999999999998</v>
      </c>
      <c r="AR41">
        <v>0.75983848916486196</v>
      </c>
      <c r="AU41">
        <v>476</v>
      </c>
      <c r="AV41">
        <v>54.1</v>
      </c>
      <c r="AX41">
        <v>487</v>
      </c>
      <c r="AY41">
        <v>48.3</v>
      </c>
      <c r="BE41" t="s">
        <v>328</v>
      </c>
    </row>
    <row r="42" spans="1:57" x14ac:dyDescent="0.2">
      <c r="A42" t="s">
        <v>113</v>
      </c>
      <c r="B42">
        <v>41</v>
      </c>
      <c r="D42" t="s">
        <v>114</v>
      </c>
      <c r="E42" t="s">
        <v>327</v>
      </c>
      <c r="F42" t="s">
        <v>330</v>
      </c>
      <c r="G42" t="s">
        <v>326</v>
      </c>
      <c r="H42" t="s">
        <v>40</v>
      </c>
      <c r="I42">
        <v>20.28</v>
      </c>
      <c r="J42">
        <v>0.24444444444444399</v>
      </c>
      <c r="K42">
        <v>1</v>
      </c>
      <c r="L42" t="s">
        <v>41</v>
      </c>
      <c r="M42">
        <v>17.100000000000001</v>
      </c>
      <c r="N42" t="s">
        <v>42</v>
      </c>
      <c r="O42">
        <v>60</v>
      </c>
      <c r="Q42" t="s">
        <v>50</v>
      </c>
      <c r="R42" t="s">
        <v>50</v>
      </c>
      <c r="S42" t="s">
        <v>43</v>
      </c>
      <c r="T42" t="s">
        <v>43</v>
      </c>
      <c r="U42" t="s">
        <v>44</v>
      </c>
      <c r="V42" t="s">
        <v>45</v>
      </c>
      <c r="W42" t="s">
        <v>46</v>
      </c>
      <c r="X42">
        <v>8</v>
      </c>
      <c r="Y42">
        <v>3</v>
      </c>
      <c r="Z42">
        <v>64</v>
      </c>
      <c r="AA42">
        <v>192</v>
      </c>
      <c r="AB42" t="s">
        <v>47</v>
      </c>
      <c r="AC42">
        <v>4</v>
      </c>
      <c r="AD42" t="s">
        <v>43</v>
      </c>
      <c r="AE42" t="s">
        <v>48</v>
      </c>
      <c r="AG42">
        <v>1000</v>
      </c>
      <c r="AH42">
        <v>600</v>
      </c>
      <c r="AI42">
        <v>3000</v>
      </c>
      <c r="AJ42">
        <v>3000</v>
      </c>
      <c r="AK42" t="s">
        <v>43</v>
      </c>
      <c r="AL42" t="s">
        <v>49</v>
      </c>
      <c r="AM42" t="s">
        <v>43</v>
      </c>
      <c r="AN42">
        <v>0</v>
      </c>
      <c r="AO42">
        <v>30</v>
      </c>
      <c r="AU42">
        <v>471</v>
      </c>
      <c r="AV42">
        <v>49.2</v>
      </c>
      <c r="AX42">
        <v>483</v>
      </c>
      <c r="AY42">
        <v>53.3</v>
      </c>
      <c r="BE42" t="s">
        <v>328</v>
      </c>
    </row>
    <row r="43" spans="1:57" x14ac:dyDescent="0.2">
      <c r="A43" t="s">
        <v>116</v>
      </c>
      <c r="B43">
        <v>42</v>
      </c>
      <c r="D43" t="s">
        <v>117</v>
      </c>
      <c r="E43" t="s">
        <v>118</v>
      </c>
      <c r="H43" t="s">
        <v>40</v>
      </c>
      <c r="J43">
        <v>0.40909090909090901</v>
      </c>
      <c r="K43">
        <v>1</v>
      </c>
      <c r="L43" t="s">
        <v>41</v>
      </c>
      <c r="N43" t="s">
        <v>42</v>
      </c>
      <c r="Q43" t="s">
        <v>50</v>
      </c>
      <c r="R43" t="s">
        <v>50</v>
      </c>
      <c r="S43" t="s">
        <v>43</v>
      </c>
      <c r="T43" t="s">
        <v>43</v>
      </c>
      <c r="U43" t="s">
        <v>119</v>
      </c>
      <c r="V43" t="s">
        <v>119</v>
      </c>
      <c r="X43">
        <v>64</v>
      </c>
      <c r="Y43">
        <v>8</v>
      </c>
      <c r="Z43">
        <v>80</v>
      </c>
      <c r="AA43">
        <v>640</v>
      </c>
      <c r="AB43" t="s">
        <v>120</v>
      </c>
      <c r="AC43">
        <v>1</v>
      </c>
      <c r="AD43" t="s">
        <v>43</v>
      </c>
      <c r="AE43" t="s">
        <v>48</v>
      </c>
      <c r="AG43">
        <v>500</v>
      </c>
      <c r="AH43">
        <v>1000</v>
      </c>
      <c r="AI43">
        <v>2300</v>
      </c>
      <c r="AJ43">
        <v>2000</v>
      </c>
      <c r="AK43" t="s">
        <v>43</v>
      </c>
      <c r="AL43" t="s">
        <v>49</v>
      </c>
      <c r="AM43" t="s">
        <v>43</v>
      </c>
      <c r="AN43">
        <v>0</v>
      </c>
      <c r="AO43">
        <v>42</v>
      </c>
      <c r="AP43">
        <v>0.40051053164411998</v>
      </c>
      <c r="AQ43">
        <v>0.95679999999999998</v>
      </c>
      <c r="AR43">
        <v>1.36256449880404</v>
      </c>
    </row>
    <row r="44" spans="1:57" x14ac:dyDescent="0.2">
      <c r="A44" t="s">
        <v>116</v>
      </c>
      <c r="B44">
        <v>43</v>
      </c>
      <c r="D44" t="s">
        <v>117</v>
      </c>
      <c r="E44" t="s">
        <v>121</v>
      </c>
      <c r="H44" t="s">
        <v>40</v>
      </c>
      <c r="J44">
        <v>0.40909090909090901</v>
      </c>
      <c r="K44">
        <v>1</v>
      </c>
      <c r="L44" t="s">
        <v>41</v>
      </c>
      <c r="N44" t="s">
        <v>122</v>
      </c>
      <c r="Q44" t="s">
        <v>50</v>
      </c>
      <c r="R44" t="s">
        <v>50</v>
      </c>
      <c r="S44" t="s">
        <v>43</v>
      </c>
      <c r="T44" t="s">
        <v>43</v>
      </c>
      <c r="U44" t="s">
        <v>119</v>
      </c>
      <c r="V44" t="s">
        <v>119</v>
      </c>
      <c r="X44">
        <v>64</v>
      </c>
      <c r="Y44">
        <v>8</v>
      </c>
      <c r="Z44">
        <v>80</v>
      </c>
      <c r="AA44">
        <v>640</v>
      </c>
      <c r="AB44" t="s">
        <v>120</v>
      </c>
      <c r="AC44">
        <v>1</v>
      </c>
      <c r="AD44" t="s">
        <v>43</v>
      </c>
      <c r="AE44" t="s">
        <v>48</v>
      </c>
      <c r="AG44">
        <v>500</v>
      </c>
      <c r="AH44">
        <v>1000</v>
      </c>
      <c r="AI44">
        <v>2300</v>
      </c>
      <c r="AJ44">
        <v>2000</v>
      </c>
      <c r="AK44" t="s">
        <v>43</v>
      </c>
      <c r="AL44" t="s">
        <v>49</v>
      </c>
      <c r="AM44" t="s">
        <v>43</v>
      </c>
      <c r="AN44">
        <v>0</v>
      </c>
      <c r="AO44">
        <v>42</v>
      </c>
      <c r="AP44">
        <v>0.201881897150714</v>
      </c>
      <c r="AQ44">
        <v>0.95679999999999998</v>
      </c>
      <c r="AR44">
        <v>0.68681616156150305</v>
      </c>
    </row>
    <row r="45" spans="1:57" x14ac:dyDescent="0.2">
      <c r="A45" t="s">
        <v>123</v>
      </c>
      <c r="B45">
        <v>44</v>
      </c>
      <c r="D45" t="s">
        <v>124</v>
      </c>
      <c r="E45" t="s">
        <v>125</v>
      </c>
      <c r="H45" t="s">
        <v>40</v>
      </c>
      <c r="J45">
        <v>0.27027027027027001</v>
      </c>
      <c r="K45">
        <v>1</v>
      </c>
      <c r="L45" t="s">
        <v>41</v>
      </c>
      <c r="N45" t="s">
        <v>42</v>
      </c>
      <c r="Q45" t="s">
        <v>50</v>
      </c>
      <c r="R45" t="s">
        <v>50</v>
      </c>
      <c r="S45" t="s">
        <v>43</v>
      </c>
      <c r="T45" t="s">
        <v>43</v>
      </c>
      <c r="U45" t="s">
        <v>44</v>
      </c>
      <c r="V45" t="s">
        <v>45</v>
      </c>
      <c r="W45" t="s">
        <v>46</v>
      </c>
      <c r="X45">
        <v>16</v>
      </c>
      <c r="Y45">
        <v>1</v>
      </c>
      <c r="Z45">
        <v>72</v>
      </c>
      <c r="AA45">
        <v>72</v>
      </c>
      <c r="AB45" t="s">
        <v>47</v>
      </c>
      <c r="AC45">
        <v>12</v>
      </c>
      <c r="AD45" t="s">
        <v>43</v>
      </c>
      <c r="AE45" t="s">
        <v>48</v>
      </c>
      <c r="AG45">
        <v>5000</v>
      </c>
      <c r="AH45">
        <v>500</v>
      </c>
      <c r="AI45">
        <v>150</v>
      </c>
      <c r="AJ45">
        <v>3000</v>
      </c>
      <c r="AK45" t="s">
        <v>43</v>
      </c>
      <c r="AL45" t="s">
        <v>126</v>
      </c>
      <c r="AM45" t="s">
        <v>43</v>
      </c>
      <c r="AN45">
        <v>0</v>
      </c>
      <c r="AO45">
        <v>27</v>
      </c>
      <c r="AP45">
        <v>-0.242813925252964</v>
      </c>
      <c r="AQ45">
        <v>0.95679999999999998</v>
      </c>
      <c r="AR45">
        <v>-0.82606974904452402</v>
      </c>
    </row>
    <row r="46" spans="1:57" x14ac:dyDescent="0.2">
      <c r="A46" t="s">
        <v>127</v>
      </c>
      <c r="B46">
        <v>45</v>
      </c>
      <c r="D46" t="s">
        <v>128</v>
      </c>
      <c r="E46" t="s">
        <v>129</v>
      </c>
      <c r="H46" t="s">
        <v>40</v>
      </c>
      <c r="K46">
        <v>1</v>
      </c>
      <c r="L46" t="s">
        <v>41</v>
      </c>
      <c r="M46">
        <v>37</v>
      </c>
      <c r="N46" t="s">
        <v>42</v>
      </c>
      <c r="O46">
        <v>60</v>
      </c>
      <c r="Q46" t="s">
        <v>43</v>
      </c>
      <c r="R46" t="s">
        <v>43</v>
      </c>
      <c r="S46" t="s">
        <v>43</v>
      </c>
      <c r="T46" t="s">
        <v>43</v>
      </c>
      <c r="U46" t="s">
        <v>44</v>
      </c>
      <c r="V46" t="s">
        <v>45</v>
      </c>
      <c r="W46" t="s">
        <v>46</v>
      </c>
      <c r="X46">
        <v>12</v>
      </c>
      <c r="Y46">
        <v>1</v>
      </c>
      <c r="Z46">
        <v>180</v>
      </c>
      <c r="AA46">
        <v>180</v>
      </c>
      <c r="AB46" t="s">
        <v>47</v>
      </c>
      <c r="AC46">
        <v>14</v>
      </c>
      <c r="AD46" t="s">
        <v>43</v>
      </c>
      <c r="AE46" t="s">
        <v>48</v>
      </c>
      <c r="AF46" t="s">
        <v>54</v>
      </c>
      <c r="AG46">
        <v>300</v>
      </c>
      <c r="AH46">
        <v>1300</v>
      </c>
      <c r="AI46">
        <v>1500</v>
      </c>
      <c r="AJ46">
        <v>1500</v>
      </c>
      <c r="AK46" t="s">
        <v>43</v>
      </c>
      <c r="AL46" t="s">
        <v>49</v>
      </c>
      <c r="AM46" t="s">
        <v>43</v>
      </c>
      <c r="AN46">
        <v>0</v>
      </c>
      <c r="AO46">
        <v>49</v>
      </c>
      <c r="AP46">
        <v>-0.216494845360825</v>
      </c>
      <c r="AQ46">
        <v>0.95679999999999998</v>
      </c>
      <c r="AR46">
        <v>-0.73653042093995902</v>
      </c>
    </row>
    <row r="47" spans="1:57" x14ac:dyDescent="0.2">
      <c r="A47" t="s">
        <v>130</v>
      </c>
      <c r="B47">
        <v>46</v>
      </c>
      <c r="D47" t="s">
        <v>131</v>
      </c>
      <c r="E47" t="s">
        <v>132</v>
      </c>
      <c r="H47" t="s">
        <v>53</v>
      </c>
      <c r="I47">
        <v>24.2</v>
      </c>
      <c r="J47">
        <v>0.38709677419354799</v>
      </c>
      <c r="K47">
        <v>1</v>
      </c>
      <c r="L47" t="s">
        <v>41</v>
      </c>
      <c r="M47">
        <v>37</v>
      </c>
      <c r="N47" t="s">
        <v>42</v>
      </c>
      <c r="O47">
        <v>65</v>
      </c>
      <c r="Q47" t="s">
        <v>43</v>
      </c>
      <c r="R47" t="s">
        <v>43</v>
      </c>
      <c r="S47" t="s">
        <v>43</v>
      </c>
      <c r="T47" t="s">
        <v>43</v>
      </c>
      <c r="U47" t="s">
        <v>44</v>
      </c>
      <c r="V47" t="s">
        <v>45</v>
      </c>
      <c r="W47" t="s">
        <v>46</v>
      </c>
      <c r="X47">
        <v>12</v>
      </c>
      <c r="Y47">
        <v>1</v>
      </c>
      <c r="Z47">
        <v>392</v>
      </c>
      <c r="AA47">
        <v>392</v>
      </c>
      <c r="AB47" t="s">
        <v>47</v>
      </c>
      <c r="AC47">
        <v>14</v>
      </c>
      <c r="AD47" t="s">
        <v>43</v>
      </c>
      <c r="AE47" t="s">
        <v>48</v>
      </c>
      <c r="AF47" t="s">
        <v>54</v>
      </c>
      <c r="AG47">
        <v>500</v>
      </c>
      <c r="AH47">
        <v>1000</v>
      </c>
      <c r="AI47">
        <v>1500</v>
      </c>
      <c r="AJ47">
        <v>1500</v>
      </c>
      <c r="AK47" t="s">
        <v>43</v>
      </c>
      <c r="AL47" t="s">
        <v>49</v>
      </c>
      <c r="AM47" t="s">
        <v>43</v>
      </c>
      <c r="AN47">
        <v>0</v>
      </c>
      <c r="AO47">
        <v>55</v>
      </c>
      <c r="AP47">
        <v>-0.26746709837737598</v>
      </c>
      <c r="AQ47">
        <v>0.95679999999999998</v>
      </c>
      <c r="AR47">
        <v>-0.90994154723244802</v>
      </c>
    </row>
    <row r="48" spans="1:57" x14ac:dyDescent="0.2">
      <c r="A48" t="s">
        <v>130</v>
      </c>
      <c r="B48">
        <v>47</v>
      </c>
      <c r="D48" t="s">
        <v>131</v>
      </c>
      <c r="E48" t="s">
        <v>133</v>
      </c>
      <c r="H48" t="s">
        <v>53</v>
      </c>
      <c r="I48">
        <v>24.2</v>
      </c>
      <c r="J48">
        <v>0.38709677419354799</v>
      </c>
      <c r="K48">
        <v>1</v>
      </c>
      <c r="L48" t="s">
        <v>41</v>
      </c>
      <c r="M48">
        <v>37</v>
      </c>
      <c r="N48" t="s">
        <v>42</v>
      </c>
      <c r="O48">
        <v>65</v>
      </c>
      <c r="Q48" t="s">
        <v>43</v>
      </c>
      <c r="R48" t="s">
        <v>43</v>
      </c>
      <c r="S48" t="s">
        <v>43</v>
      </c>
      <c r="T48" t="s">
        <v>43</v>
      </c>
      <c r="U48" t="s">
        <v>44</v>
      </c>
      <c r="V48" t="s">
        <v>45</v>
      </c>
      <c r="W48" t="s">
        <v>46</v>
      </c>
      <c r="X48">
        <v>12</v>
      </c>
      <c r="Y48">
        <v>1</v>
      </c>
      <c r="Z48">
        <v>392</v>
      </c>
      <c r="AA48">
        <v>392</v>
      </c>
      <c r="AB48" t="s">
        <v>47</v>
      </c>
      <c r="AC48">
        <v>14</v>
      </c>
      <c r="AD48" t="s">
        <v>43</v>
      </c>
      <c r="AE48" t="s">
        <v>48</v>
      </c>
      <c r="AF48" t="s">
        <v>134</v>
      </c>
      <c r="AG48">
        <v>500</v>
      </c>
      <c r="AH48">
        <v>1000</v>
      </c>
      <c r="AI48">
        <v>1500</v>
      </c>
      <c r="AJ48">
        <v>1500</v>
      </c>
      <c r="AK48" t="s">
        <v>43</v>
      </c>
      <c r="AL48" t="s">
        <v>49</v>
      </c>
      <c r="AM48" t="s">
        <v>43</v>
      </c>
      <c r="AN48">
        <v>0</v>
      </c>
      <c r="AO48">
        <v>55</v>
      </c>
      <c r="AP48">
        <v>0.25144803118023201</v>
      </c>
      <c r="AQ48">
        <v>0.95679999999999998</v>
      </c>
      <c r="AR48">
        <v>0.85544357391528103</v>
      </c>
    </row>
    <row r="49" spans="1:44" x14ac:dyDescent="0.2">
      <c r="A49" t="s">
        <v>130</v>
      </c>
      <c r="B49">
        <v>48</v>
      </c>
      <c r="D49" t="s">
        <v>135</v>
      </c>
      <c r="E49" t="s">
        <v>136</v>
      </c>
      <c r="H49" t="s">
        <v>53</v>
      </c>
      <c r="I49">
        <v>24.5</v>
      </c>
      <c r="J49">
        <v>0.25</v>
      </c>
      <c r="K49">
        <v>1</v>
      </c>
      <c r="L49" t="s">
        <v>41</v>
      </c>
      <c r="M49">
        <v>37</v>
      </c>
      <c r="N49" t="s">
        <v>42</v>
      </c>
      <c r="O49">
        <v>65</v>
      </c>
      <c r="Q49" t="s">
        <v>43</v>
      </c>
      <c r="R49" t="s">
        <v>43</v>
      </c>
      <c r="S49" t="s">
        <v>43</v>
      </c>
      <c r="T49" t="s">
        <v>43</v>
      </c>
      <c r="U49" t="s">
        <v>56</v>
      </c>
      <c r="V49" t="s">
        <v>45</v>
      </c>
      <c r="W49" t="s">
        <v>46</v>
      </c>
      <c r="X49">
        <v>12</v>
      </c>
      <c r="Y49">
        <v>1</v>
      </c>
      <c r="Z49">
        <v>392</v>
      </c>
      <c r="AA49">
        <v>392</v>
      </c>
      <c r="AB49" t="s">
        <v>356</v>
      </c>
      <c r="AC49">
        <v>14</v>
      </c>
      <c r="AD49" t="s">
        <v>43</v>
      </c>
      <c r="AE49" t="s">
        <v>48</v>
      </c>
      <c r="AF49" t="s">
        <v>54</v>
      </c>
      <c r="AG49">
        <v>500</v>
      </c>
      <c r="AH49">
        <v>1000</v>
      </c>
      <c r="AI49">
        <v>1500</v>
      </c>
      <c r="AJ49">
        <v>1500</v>
      </c>
      <c r="AK49" t="s">
        <v>43</v>
      </c>
      <c r="AL49" t="s">
        <v>49</v>
      </c>
      <c r="AM49" t="s">
        <v>43</v>
      </c>
      <c r="AN49">
        <v>0</v>
      </c>
      <c r="AO49">
        <v>51</v>
      </c>
      <c r="AP49">
        <v>-0.23178670949570401</v>
      </c>
      <c r="AQ49">
        <v>0.95679999999999998</v>
      </c>
      <c r="AR49">
        <v>-0.78855439919887604</v>
      </c>
    </row>
    <row r="50" spans="1:44" x14ac:dyDescent="0.2">
      <c r="A50" t="s">
        <v>130</v>
      </c>
      <c r="B50">
        <v>49</v>
      </c>
      <c r="D50" t="s">
        <v>135</v>
      </c>
      <c r="E50" t="s">
        <v>137</v>
      </c>
      <c r="H50" t="s">
        <v>53</v>
      </c>
      <c r="I50">
        <v>24.5</v>
      </c>
      <c r="J50">
        <v>0.25</v>
      </c>
      <c r="K50">
        <v>1</v>
      </c>
      <c r="L50" t="s">
        <v>41</v>
      </c>
      <c r="M50">
        <v>37</v>
      </c>
      <c r="N50" t="s">
        <v>42</v>
      </c>
      <c r="O50">
        <v>65</v>
      </c>
      <c r="Q50" t="s">
        <v>43</v>
      </c>
      <c r="R50" t="s">
        <v>43</v>
      </c>
      <c r="S50" t="s">
        <v>43</v>
      </c>
      <c r="T50" t="s">
        <v>43</v>
      </c>
      <c r="U50" t="s">
        <v>56</v>
      </c>
      <c r="V50" t="s">
        <v>45</v>
      </c>
      <c r="W50" t="s">
        <v>46</v>
      </c>
      <c r="X50">
        <v>12</v>
      </c>
      <c r="Y50">
        <v>1</v>
      </c>
      <c r="Z50">
        <v>392</v>
      </c>
      <c r="AA50">
        <v>392</v>
      </c>
      <c r="AB50" t="s">
        <v>356</v>
      </c>
      <c r="AC50">
        <v>14</v>
      </c>
      <c r="AD50" t="s">
        <v>43</v>
      </c>
      <c r="AE50" t="s">
        <v>48</v>
      </c>
      <c r="AF50" t="s">
        <v>134</v>
      </c>
      <c r="AG50">
        <v>500</v>
      </c>
      <c r="AH50">
        <v>1000</v>
      </c>
      <c r="AI50">
        <v>1500</v>
      </c>
      <c r="AJ50">
        <v>1500</v>
      </c>
      <c r="AK50" t="s">
        <v>43</v>
      </c>
      <c r="AL50" t="s">
        <v>49</v>
      </c>
      <c r="AM50" t="s">
        <v>43</v>
      </c>
      <c r="AN50">
        <v>0</v>
      </c>
      <c r="AO50">
        <v>51</v>
      </c>
      <c r="AP50">
        <v>0.48842155495900003</v>
      </c>
      <c r="AQ50">
        <v>0.95679999999999998</v>
      </c>
      <c r="AR50">
        <v>1.66164387364761</v>
      </c>
    </row>
    <row r="51" spans="1:44" x14ac:dyDescent="0.2">
      <c r="A51" t="s">
        <v>130</v>
      </c>
      <c r="B51">
        <v>50</v>
      </c>
      <c r="D51" t="s">
        <v>138</v>
      </c>
      <c r="E51" t="s">
        <v>139</v>
      </c>
      <c r="H51" t="s">
        <v>53</v>
      </c>
      <c r="I51">
        <v>23.1</v>
      </c>
      <c r="J51">
        <v>0.35</v>
      </c>
      <c r="K51">
        <v>1</v>
      </c>
      <c r="L51" t="s">
        <v>41</v>
      </c>
      <c r="M51">
        <v>37</v>
      </c>
      <c r="N51" t="s">
        <v>42</v>
      </c>
      <c r="O51">
        <v>65</v>
      </c>
      <c r="Q51" t="s">
        <v>43</v>
      </c>
      <c r="R51" t="s">
        <v>43</v>
      </c>
      <c r="S51" t="s">
        <v>43</v>
      </c>
      <c r="T51" t="s">
        <v>43</v>
      </c>
      <c r="U51" t="s">
        <v>56</v>
      </c>
      <c r="V51" t="s">
        <v>45</v>
      </c>
      <c r="W51" t="s">
        <v>46</v>
      </c>
      <c r="X51">
        <v>12</v>
      </c>
      <c r="Y51">
        <v>1</v>
      </c>
      <c r="Z51">
        <v>392</v>
      </c>
      <c r="AA51">
        <v>392</v>
      </c>
      <c r="AB51" t="s">
        <v>356</v>
      </c>
      <c r="AC51">
        <v>14</v>
      </c>
      <c r="AD51" t="s">
        <v>43</v>
      </c>
      <c r="AE51" t="s">
        <v>48</v>
      </c>
      <c r="AF51" t="s">
        <v>54</v>
      </c>
      <c r="AG51">
        <v>500</v>
      </c>
      <c r="AH51">
        <v>1000</v>
      </c>
      <c r="AI51">
        <v>1500</v>
      </c>
      <c r="AJ51">
        <v>1500</v>
      </c>
      <c r="AK51" t="s">
        <v>43</v>
      </c>
      <c r="AL51" t="s">
        <v>49</v>
      </c>
      <c r="AM51" t="s">
        <v>43</v>
      </c>
      <c r="AN51">
        <v>0</v>
      </c>
      <c r="AO51">
        <v>50</v>
      </c>
      <c r="AP51">
        <v>-0.178340331483575</v>
      </c>
      <c r="AQ51">
        <v>0.95679999999999998</v>
      </c>
      <c r="AR51">
        <v>-0.60672612874106802</v>
      </c>
    </row>
    <row r="52" spans="1:44" x14ac:dyDescent="0.2">
      <c r="A52" t="s">
        <v>130</v>
      </c>
      <c r="B52">
        <v>51</v>
      </c>
      <c r="D52" t="s">
        <v>138</v>
      </c>
      <c r="E52" t="s">
        <v>140</v>
      </c>
      <c r="H52" t="s">
        <v>53</v>
      </c>
      <c r="I52">
        <v>23.1</v>
      </c>
      <c r="J52">
        <v>0.35</v>
      </c>
      <c r="K52">
        <v>1</v>
      </c>
      <c r="L52" t="s">
        <v>41</v>
      </c>
      <c r="M52">
        <v>37</v>
      </c>
      <c r="N52" t="s">
        <v>42</v>
      </c>
      <c r="O52">
        <v>65</v>
      </c>
      <c r="Q52" t="s">
        <v>43</v>
      </c>
      <c r="R52" t="s">
        <v>43</v>
      </c>
      <c r="S52" t="s">
        <v>43</v>
      </c>
      <c r="T52" t="s">
        <v>43</v>
      </c>
      <c r="U52" t="s">
        <v>56</v>
      </c>
      <c r="V52" t="s">
        <v>45</v>
      </c>
      <c r="W52" t="s">
        <v>46</v>
      </c>
      <c r="X52">
        <v>12</v>
      </c>
      <c r="Y52">
        <v>1</v>
      </c>
      <c r="Z52">
        <v>392</v>
      </c>
      <c r="AA52">
        <v>392</v>
      </c>
      <c r="AB52" t="s">
        <v>356</v>
      </c>
      <c r="AC52">
        <v>14</v>
      </c>
      <c r="AD52" t="s">
        <v>43</v>
      </c>
      <c r="AE52" t="s">
        <v>48</v>
      </c>
      <c r="AF52" t="s">
        <v>134</v>
      </c>
      <c r="AG52">
        <v>500</v>
      </c>
      <c r="AH52">
        <v>1000</v>
      </c>
      <c r="AI52">
        <v>1500</v>
      </c>
      <c r="AJ52">
        <v>1500</v>
      </c>
      <c r="AK52" t="s">
        <v>43</v>
      </c>
      <c r="AL52" t="s">
        <v>49</v>
      </c>
      <c r="AM52" t="s">
        <v>43</v>
      </c>
      <c r="AN52">
        <v>0</v>
      </c>
      <c r="AO52">
        <v>50</v>
      </c>
      <c r="AP52">
        <v>0.33980396553039</v>
      </c>
      <c r="AQ52">
        <v>0.95679999999999998</v>
      </c>
      <c r="AR52">
        <v>1.15603656683853</v>
      </c>
    </row>
    <row r="53" spans="1:44" x14ac:dyDescent="0.2">
      <c r="A53" t="s">
        <v>130</v>
      </c>
      <c r="B53">
        <v>52</v>
      </c>
      <c r="D53" t="s">
        <v>141</v>
      </c>
      <c r="E53" t="s">
        <v>142</v>
      </c>
      <c r="H53" t="s">
        <v>53</v>
      </c>
      <c r="I53">
        <v>25.1</v>
      </c>
      <c r="J53">
        <v>0.375</v>
      </c>
      <c r="K53">
        <v>1</v>
      </c>
      <c r="L53" t="s">
        <v>41</v>
      </c>
      <c r="M53">
        <v>37</v>
      </c>
      <c r="N53" t="s">
        <v>42</v>
      </c>
      <c r="O53">
        <v>65</v>
      </c>
      <c r="Q53" t="s">
        <v>43</v>
      </c>
      <c r="R53" t="s">
        <v>43</v>
      </c>
      <c r="S53" t="s">
        <v>43</v>
      </c>
      <c r="T53" t="s">
        <v>43</v>
      </c>
      <c r="U53" t="s">
        <v>56</v>
      </c>
      <c r="V53" t="s">
        <v>45</v>
      </c>
      <c r="W53" t="s">
        <v>46</v>
      </c>
      <c r="X53">
        <v>12</v>
      </c>
      <c r="Y53">
        <v>1</v>
      </c>
      <c r="Z53">
        <v>392</v>
      </c>
      <c r="AA53">
        <v>392</v>
      </c>
      <c r="AB53" t="s">
        <v>356</v>
      </c>
      <c r="AC53">
        <v>14</v>
      </c>
      <c r="AD53" t="s">
        <v>43</v>
      </c>
      <c r="AE53" t="s">
        <v>48</v>
      </c>
      <c r="AF53" t="s">
        <v>54</v>
      </c>
      <c r="AG53">
        <v>500</v>
      </c>
      <c r="AH53">
        <v>1000</v>
      </c>
      <c r="AI53">
        <v>1500</v>
      </c>
      <c r="AJ53">
        <v>1500</v>
      </c>
      <c r="AK53" t="s">
        <v>43</v>
      </c>
      <c r="AL53" t="s">
        <v>49</v>
      </c>
      <c r="AM53" t="s">
        <v>43</v>
      </c>
      <c r="AN53">
        <v>0</v>
      </c>
      <c r="AO53">
        <v>56</v>
      </c>
      <c r="AP53">
        <v>4.5789521249527398E-2</v>
      </c>
      <c r="AQ53">
        <v>0.95679999999999998</v>
      </c>
      <c r="AR53">
        <v>0.15577911476065201</v>
      </c>
    </row>
    <row r="54" spans="1:44" x14ac:dyDescent="0.2">
      <c r="A54" t="s">
        <v>130</v>
      </c>
      <c r="B54">
        <v>53</v>
      </c>
      <c r="D54" t="s">
        <v>141</v>
      </c>
      <c r="E54" t="s">
        <v>143</v>
      </c>
      <c r="H54" t="s">
        <v>53</v>
      </c>
      <c r="I54">
        <v>25.1</v>
      </c>
      <c r="J54">
        <v>0.375</v>
      </c>
      <c r="K54">
        <v>1</v>
      </c>
      <c r="L54" t="s">
        <v>41</v>
      </c>
      <c r="M54">
        <v>37</v>
      </c>
      <c r="N54" t="s">
        <v>42</v>
      </c>
      <c r="O54">
        <v>65</v>
      </c>
      <c r="Q54" t="s">
        <v>43</v>
      </c>
      <c r="R54" t="s">
        <v>43</v>
      </c>
      <c r="S54" t="s">
        <v>43</v>
      </c>
      <c r="T54" t="s">
        <v>43</v>
      </c>
      <c r="U54" t="s">
        <v>56</v>
      </c>
      <c r="V54" t="s">
        <v>45</v>
      </c>
      <c r="W54" t="s">
        <v>46</v>
      </c>
      <c r="X54">
        <v>12</v>
      </c>
      <c r="Y54">
        <v>1</v>
      </c>
      <c r="Z54">
        <v>392</v>
      </c>
      <c r="AA54">
        <v>392</v>
      </c>
      <c r="AB54" t="s">
        <v>356</v>
      </c>
      <c r="AC54">
        <v>14</v>
      </c>
      <c r="AD54" t="s">
        <v>43</v>
      </c>
      <c r="AE54" t="s">
        <v>48</v>
      </c>
      <c r="AF54" t="s">
        <v>134</v>
      </c>
      <c r="AG54">
        <v>500</v>
      </c>
      <c r="AH54">
        <v>1000</v>
      </c>
      <c r="AI54">
        <v>1500</v>
      </c>
      <c r="AJ54">
        <v>1500</v>
      </c>
      <c r="AK54" t="s">
        <v>43</v>
      </c>
      <c r="AL54" t="s">
        <v>49</v>
      </c>
      <c r="AM54" t="s">
        <v>43</v>
      </c>
      <c r="AN54">
        <v>0</v>
      </c>
      <c r="AO54">
        <v>56</v>
      </c>
      <c r="AP54">
        <v>0.51148961047280495</v>
      </c>
      <c r="AQ54">
        <v>0.95679999999999998</v>
      </c>
      <c r="AR54">
        <v>1.74012299221291</v>
      </c>
    </row>
    <row r="55" spans="1:44" x14ac:dyDescent="0.2">
      <c r="A55" t="s">
        <v>144</v>
      </c>
      <c r="B55">
        <v>54</v>
      </c>
      <c r="D55" t="s">
        <v>145</v>
      </c>
      <c r="E55" t="s">
        <v>146</v>
      </c>
      <c r="H55" t="s">
        <v>40</v>
      </c>
      <c r="I55">
        <v>44</v>
      </c>
      <c r="J55">
        <v>0.44</v>
      </c>
      <c r="K55">
        <v>1</v>
      </c>
      <c r="L55" t="s">
        <v>41</v>
      </c>
      <c r="M55">
        <v>25</v>
      </c>
      <c r="N55" t="s">
        <v>42</v>
      </c>
      <c r="O55">
        <v>40</v>
      </c>
      <c r="P55">
        <v>12</v>
      </c>
      <c r="Q55" t="s">
        <v>50</v>
      </c>
      <c r="R55" t="s">
        <v>50</v>
      </c>
      <c r="S55" t="s">
        <v>43</v>
      </c>
      <c r="T55" t="s">
        <v>50</v>
      </c>
      <c r="U55" t="s">
        <v>44</v>
      </c>
      <c r="V55" t="s">
        <v>45</v>
      </c>
      <c r="W55" t="s">
        <v>71</v>
      </c>
      <c r="X55">
        <v>10</v>
      </c>
      <c r="Y55">
        <v>2</v>
      </c>
      <c r="Z55">
        <v>104</v>
      </c>
      <c r="AA55">
        <v>208</v>
      </c>
      <c r="AB55" t="s">
        <v>47</v>
      </c>
      <c r="AC55">
        <v>13</v>
      </c>
      <c r="AD55" t="s">
        <v>43</v>
      </c>
      <c r="AE55" t="s">
        <v>48</v>
      </c>
      <c r="AG55">
        <v>1000</v>
      </c>
      <c r="AH55">
        <v>1000</v>
      </c>
      <c r="AI55">
        <v>1000</v>
      </c>
      <c r="AJ55">
        <v>1000</v>
      </c>
      <c r="AK55" t="s">
        <v>43</v>
      </c>
      <c r="AL55" t="s">
        <v>49</v>
      </c>
      <c r="AM55" t="s">
        <v>43</v>
      </c>
      <c r="AN55">
        <v>0</v>
      </c>
      <c r="AO55">
        <v>25</v>
      </c>
      <c r="AP55">
        <v>-4.3578232761767796E-3</v>
      </c>
      <c r="AQ55">
        <v>0.95679999999999998</v>
      </c>
      <c r="AR55">
        <v>-1.4825615855356701E-2</v>
      </c>
    </row>
    <row r="56" spans="1:44" x14ac:dyDescent="0.2">
      <c r="A56" t="s">
        <v>147</v>
      </c>
      <c r="B56">
        <v>55</v>
      </c>
      <c r="D56" t="s">
        <v>148</v>
      </c>
      <c r="E56" t="s">
        <v>149</v>
      </c>
      <c r="H56" t="s">
        <v>40</v>
      </c>
      <c r="I56">
        <v>20</v>
      </c>
      <c r="J56">
        <v>0.38461538461538403</v>
      </c>
      <c r="K56">
        <v>0.85</v>
      </c>
      <c r="L56" t="s">
        <v>41</v>
      </c>
      <c r="N56" t="s">
        <v>42</v>
      </c>
      <c r="O56">
        <v>55</v>
      </c>
      <c r="Q56" t="s">
        <v>43</v>
      </c>
      <c r="R56" t="s">
        <v>43</v>
      </c>
      <c r="S56" t="s">
        <v>43</v>
      </c>
      <c r="T56" t="s">
        <v>43</v>
      </c>
      <c r="U56" t="s">
        <v>91</v>
      </c>
      <c r="V56" t="s">
        <v>45</v>
      </c>
      <c r="W56" t="s">
        <v>71</v>
      </c>
      <c r="X56">
        <v>48</v>
      </c>
      <c r="Y56">
        <v>12</v>
      </c>
      <c r="Z56">
        <v>84</v>
      </c>
      <c r="AA56">
        <v>1008</v>
      </c>
      <c r="AB56" t="s">
        <v>47</v>
      </c>
      <c r="AC56">
        <v>84</v>
      </c>
      <c r="AD56" t="s">
        <v>43</v>
      </c>
      <c r="AE56" t="s">
        <v>48</v>
      </c>
      <c r="AF56" t="s">
        <v>54</v>
      </c>
      <c r="AG56">
        <v>1100</v>
      </c>
      <c r="AH56">
        <v>0</v>
      </c>
      <c r="AI56">
        <v>2000</v>
      </c>
      <c r="AJ56">
        <v>2000</v>
      </c>
      <c r="AK56" t="s">
        <v>43</v>
      </c>
      <c r="AL56" t="s">
        <v>49</v>
      </c>
      <c r="AM56" t="s">
        <v>50</v>
      </c>
      <c r="AN56">
        <v>100</v>
      </c>
      <c r="AO56">
        <v>26</v>
      </c>
      <c r="AP56">
        <v>1.44993740424994E-2</v>
      </c>
      <c r="AQ56">
        <v>0.98178514106355097</v>
      </c>
      <c r="AR56">
        <v>7.5966365657332793E-2</v>
      </c>
    </row>
    <row r="57" spans="1:44" x14ac:dyDescent="0.2">
      <c r="A57" t="s">
        <v>147</v>
      </c>
      <c r="B57">
        <v>56</v>
      </c>
      <c r="D57" t="s">
        <v>150</v>
      </c>
      <c r="E57" t="s">
        <v>151</v>
      </c>
      <c r="H57" t="s">
        <v>40</v>
      </c>
      <c r="I57">
        <v>20</v>
      </c>
      <c r="J57">
        <v>0.25</v>
      </c>
      <c r="K57">
        <v>0.9</v>
      </c>
      <c r="L57" t="s">
        <v>41</v>
      </c>
      <c r="N57" t="s">
        <v>42</v>
      </c>
      <c r="O57">
        <v>55</v>
      </c>
      <c r="Q57" t="s">
        <v>43</v>
      </c>
      <c r="R57" t="s">
        <v>43</v>
      </c>
      <c r="S57" t="s">
        <v>43</v>
      </c>
      <c r="T57" t="s">
        <v>43</v>
      </c>
      <c r="U57" t="s">
        <v>91</v>
      </c>
      <c r="V57" t="s">
        <v>45</v>
      </c>
      <c r="W57" t="s">
        <v>71</v>
      </c>
      <c r="X57">
        <v>48</v>
      </c>
      <c r="Y57">
        <v>12</v>
      </c>
      <c r="Z57">
        <v>84</v>
      </c>
      <c r="AA57">
        <v>1008</v>
      </c>
      <c r="AB57" t="s">
        <v>47</v>
      </c>
      <c r="AC57">
        <v>16</v>
      </c>
      <c r="AD57" t="s">
        <v>43</v>
      </c>
      <c r="AE57" t="s">
        <v>48</v>
      </c>
      <c r="AF57" t="s">
        <v>54</v>
      </c>
      <c r="AG57">
        <v>1100</v>
      </c>
      <c r="AH57">
        <v>0</v>
      </c>
      <c r="AI57">
        <v>2000</v>
      </c>
      <c r="AJ57">
        <v>2000</v>
      </c>
      <c r="AK57" t="s">
        <v>43</v>
      </c>
      <c r="AL57" t="s">
        <v>49</v>
      </c>
      <c r="AM57" t="s">
        <v>50</v>
      </c>
      <c r="AN57">
        <v>100</v>
      </c>
      <c r="AO57">
        <v>20</v>
      </c>
      <c r="AP57">
        <v>3.9034874155967403E-2</v>
      </c>
      <c r="AQ57">
        <v>0.97184534811295897</v>
      </c>
      <c r="AR57">
        <v>0.16449878886686001</v>
      </c>
    </row>
    <row r="58" spans="1:44" x14ac:dyDescent="0.2">
      <c r="A58" t="s">
        <v>147</v>
      </c>
      <c r="B58">
        <v>57</v>
      </c>
      <c r="D58" t="s">
        <v>150</v>
      </c>
      <c r="E58" t="s">
        <v>152</v>
      </c>
      <c r="H58" t="s">
        <v>40</v>
      </c>
      <c r="I58">
        <v>20</v>
      </c>
      <c r="J58">
        <v>0.25</v>
      </c>
      <c r="K58">
        <v>0.9</v>
      </c>
      <c r="L58" t="s">
        <v>41</v>
      </c>
      <c r="N58" t="s">
        <v>42</v>
      </c>
      <c r="O58">
        <v>55</v>
      </c>
      <c r="Q58" t="s">
        <v>43</v>
      </c>
      <c r="R58" t="s">
        <v>43</v>
      </c>
      <c r="S58" t="s">
        <v>43</v>
      </c>
      <c r="T58" t="s">
        <v>43</v>
      </c>
      <c r="U58" t="s">
        <v>91</v>
      </c>
      <c r="V58" t="s">
        <v>45</v>
      </c>
      <c r="W58" t="s">
        <v>71</v>
      </c>
      <c r="X58">
        <v>48</v>
      </c>
      <c r="Y58">
        <v>12</v>
      </c>
      <c r="Z58">
        <v>120</v>
      </c>
      <c r="AA58">
        <v>1440</v>
      </c>
      <c r="AB58" t="s">
        <v>47</v>
      </c>
      <c r="AC58">
        <v>16</v>
      </c>
      <c r="AD58" t="s">
        <v>43</v>
      </c>
      <c r="AE58" t="s">
        <v>153</v>
      </c>
      <c r="AF58" t="s">
        <v>54</v>
      </c>
      <c r="AG58">
        <v>1100</v>
      </c>
      <c r="AH58">
        <v>0</v>
      </c>
      <c r="AI58">
        <v>2000</v>
      </c>
      <c r="AJ58">
        <v>2000</v>
      </c>
      <c r="AK58" t="s">
        <v>43</v>
      </c>
      <c r="AL58" t="s">
        <v>49</v>
      </c>
      <c r="AM58" t="s">
        <v>50</v>
      </c>
      <c r="AN58">
        <v>100</v>
      </c>
      <c r="AO58">
        <v>20</v>
      </c>
      <c r="AP58">
        <v>0.36610251611823902</v>
      </c>
      <c r="AQ58">
        <v>0.95013043298969102</v>
      </c>
      <c r="AR58">
        <v>1.15923081483569</v>
      </c>
    </row>
    <row r="59" spans="1:44" x14ac:dyDescent="0.2">
      <c r="A59" t="s">
        <v>147</v>
      </c>
      <c r="B59">
        <v>58</v>
      </c>
      <c r="D59" t="s">
        <v>154</v>
      </c>
      <c r="E59" t="s">
        <v>155</v>
      </c>
      <c r="H59" t="s">
        <v>40</v>
      </c>
      <c r="I59">
        <v>21</v>
      </c>
      <c r="J59">
        <v>0.45454545454545398</v>
      </c>
      <c r="K59">
        <v>1</v>
      </c>
      <c r="L59" t="s">
        <v>41</v>
      </c>
      <c r="N59" t="s">
        <v>42</v>
      </c>
      <c r="O59">
        <v>55</v>
      </c>
      <c r="Q59" t="s">
        <v>43</v>
      </c>
      <c r="R59" t="s">
        <v>43</v>
      </c>
      <c r="S59" t="s">
        <v>43</v>
      </c>
      <c r="T59" t="s">
        <v>43</v>
      </c>
      <c r="U59" t="s">
        <v>91</v>
      </c>
      <c r="V59" t="s">
        <v>45</v>
      </c>
      <c r="W59" t="s">
        <v>71</v>
      </c>
      <c r="X59">
        <v>48</v>
      </c>
      <c r="Y59">
        <v>12</v>
      </c>
      <c r="Z59">
        <v>120</v>
      </c>
      <c r="AA59">
        <v>1440</v>
      </c>
      <c r="AB59" t="s">
        <v>47</v>
      </c>
      <c r="AC59">
        <v>16</v>
      </c>
      <c r="AD59" t="s">
        <v>43</v>
      </c>
      <c r="AE59" t="s">
        <v>48</v>
      </c>
      <c r="AF59" t="s">
        <v>54</v>
      </c>
      <c r="AG59">
        <v>1100</v>
      </c>
      <c r="AH59">
        <v>0</v>
      </c>
      <c r="AI59">
        <v>2000</v>
      </c>
      <c r="AJ59">
        <v>2000</v>
      </c>
      <c r="AK59" t="s">
        <v>43</v>
      </c>
      <c r="AL59" t="s">
        <v>49</v>
      </c>
      <c r="AM59" t="s">
        <v>50</v>
      </c>
      <c r="AN59">
        <v>100</v>
      </c>
      <c r="AO59">
        <v>22</v>
      </c>
      <c r="AP59">
        <v>-9.5480430583677507E-3</v>
      </c>
      <c r="AQ59">
        <v>0.96979253355894002</v>
      </c>
      <c r="AR59">
        <v>-3.8845634556260597E-2</v>
      </c>
    </row>
    <row r="60" spans="1:44" x14ac:dyDescent="0.2">
      <c r="A60" t="s">
        <v>147</v>
      </c>
      <c r="B60">
        <v>59</v>
      </c>
      <c r="D60" t="s">
        <v>154</v>
      </c>
      <c r="E60" t="s">
        <v>156</v>
      </c>
      <c r="H60" t="s">
        <v>40</v>
      </c>
      <c r="I60">
        <v>21</v>
      </c>
      <c r="J60">
        <v>0.45454545454545398</v>
      </c>
      <c r="K60">
        <v>1</v>
      </c>
      <c r="L60" t="s">
        <v>41</v>
      </c>
      <c r="N60" t="s">
        <v>42</v>
      </c>
      <c r="O60">
        <v>55</v>
      </c>
      <c r="Q60" t="s">
        <v>43</v>
      </c>
      <c r="R60" t="s">
        <v>43</v>
      </c>
      <c r="S60" t="s">
        <v>43</v>
      </c>
      <c r="T60" t="s">
        <v>43</v>
      </c>
      <c r="U60" t="s">
        <v>91</v>
      </c>
      <c r="V60" t="s">
        <v>45</v>
      </c>
      <c r="W60" t="s">
        <v>71</v>
      </c>
      <c r="X60">
        <v>48</v>
      </c>
      <c r="Y60">
        <v>12</v>
      </c>
      <c r="Z60">
        <v>120</v>
      </c>
      <c r="AA60">
        <v>1440</v>
      </c>
      <c r="AB60" t="s">
        <v>47</v>
      </c>
      <c r="AC60">
        <v>16</v>
      </c>
      <c r="AD60" t="s">
        <v>43</v>
      </c>
      <c r="AE60" t="s">
        <v>48</v>
      </c>
      <c r="AF60" t="s">
        <v>61</v>
      </c>
      <c r="AG60">
        <v>1100</v>
      </c>
      <c r="AH60">
        <v>0</v>
      </c>
      <c r="AI60">
        <v>2000</v>
      </c>
      <c r="AJ60">
        <v>2000</v>
      </c>
      <c r="AK60" t="s">
        <v>43</v>
      </c>
      <c r="AL60" t="s">
        <v>49</v>
      </c>
      <c r="AM60" t="s">
        <v>50</v>
      </c>
      <c r="AN60">
        <v>100</v>
      </c>
      <c r="AO60">
        <v>22</v>
      </c>
      <c r="AP60">
        <v>0.243657961549269</v>
      </c>
      <c r="AQ60">
        <v>0.96915497448979604</v>
      </c>
      <c r="AR60">
        <v>0.98100911325773399</v>
      </c>
    </row>
    <row r="61" spans="1:44" x14ac:dyDescent="0.2">
      <c r="A61" t="s">
        <v>157</v>
      </c>
      <c r="B61">
        <v>60</v>
      </c>
      <c r="D61" t="s">
        <v>158</v>
      </c>
      <c r="E61" t="s">
        <v>159</v>
      </c>
      <c r="H61" t="s">
        <v>40</v>
      </c>
      <c r="I61">
        <v>21</v>
      </c>
      <c r="J61">
        <v>0.35</v>
      </c>
      <c r="K61">
        <v>0.9</v>
      </c>
      <c r="L61" t="s">
        <v>41</v>
      </c>
      <c r="N61" t="s">
        <v>42</v>
      </c>
      <c r="O61">
        <v>55</v>
      </c>
      <c r="Q61" t="s">
        <v>43</v>
      </c>
      <c r="R61" t="s">
        <v>43</v>
      </c>
      <c r="S61" t="s">
        <v>43</v>
      </c>
      <c r="T61" t="s">
        <v>50</v>
      </c>
      <c r="U61" t="s">
        <v>91</v>
      </c>
      <c r="V61" t="s">
        <v>45</v>
      </c>
      <c r="W61" t="s">
        <v>46</v>
      </c>
      <c r="X61">
        <v>64</v>
      </c>
      <c r="Y61">
        <v>16</v>
      </c>
      <c r="Z61">
        <v>96</v>
      </c>
      <c r="AA61">
        <v>1536</v>
      </c>
      <c r="AB61" t="s">
        <v>47</v>
      </c>
      <c r="AC61">
        <v>2</v>
      </c>
      <c r="AD61" t="s">
        <v>43</v>
      </c>
      <c r="AE61" t="s">
        <v>48</v>
      </c>
      <c r="AF61" t="s">
        <v>54</v>
      </c>
      <c r="AG61">
        <v>1000</v>
      </c>
      <c r="AH61">
        <v>0</v>
      </c>
      <c r="AI61">
        <v>1500</v>
      </c>
      <c r="AJ61">
        <v>1500</v>
      </c>
      <c r="AK61" t="s">
        <v>43</v>
      </c>
      <c r="AL61" t="s">
        <v>49</v>
      </c>
      <c r="AM61" t="s">
        <v>50</v>
      </c>
      <c r="AN61">
        <v>100</v>
      </c>
      <c r="AO61">
        <v>20</v>
      </c>
      <c r="AP61">
        <v>-6.7202410874582397E-2</v>
      </c>
      <c r="AQ61">
        <v>0.97161204885123897</v>
      </c>
      <c r="AR61">
        <v>-0.282034885940735</v>
      </c>
    </row>
    <row r="62" spans="1:44" x14ac:dyDescent="0.2">
      <c r="A62" t="s">
        <v>157</v>
      </c>
      <c r="B62">
        <v>61</v>
      </c>
      <c r="D62" t="s">
        <v>158</v>
      </c>
      <c r="E62" t="s">
        <v>160</v>
      </c>
      <c r="H62" t="s">
        <v>40</v>
      </c>
      <c r="I62">
        <v>21</v>
      </c>
      <c r="J62">
        <v>0.35</v>
      </c>
      <c r="K62">
        <v>0.9</v>
      </c>
      <c r="L62" t="s">
        <v>41</v>
      </c>
      <c r="N62" t="s">
        <v>42</v>
      </c>
      <c r="O62">
        <v>55</v>
      </c>
      <c r="Q62" t="s">
        <v>43</v>
      </c>
      <c r="R62" t="s">
        <v>43</v>
      </c>
      <c r="S62" t="s">
        <v>43</v>
      </c>
      <c r="T62" t="s">
        <v>50</v>
      </c>
      <c r="U62" t="s">
        <v>91</v>
      </c>
      <c r="V62" t="s">
        <v>45</v>
      </c>
      <c r="W62" t="s">
        <v>46</v>
      </c>
      <c r="X62">
        <v>64</v>
      </c>
      <c r="Y62">
        <v>16</v>
      </c>
      <c r="Z62">
        <v>96</v>
      </c>
      <c r="AA62">
        <v>1536</v>
      </c>
      <c r="AB62" t="s">
        <v>47</v>
      </c>
      <c r="AC62">
        <v>2</v>
      </c>
      <c r="AD62" t="s">
        <v>43</v>
      </c>
      <c r="AE62" t="s">
        <v>48</v>
      </c>
      <c r="AF62" t="s">
        <v>61</v>
      </c>
      <c r="AG62">
        <v>1000</v>
      </c>
      <c r="AH62">
        <v>0</v>
      </c>
      <c r="AI62">
        <v>1500</v>
      </c>
      <c r="AJ62">
        <v>1500</v>
      </c>
      <c r="AK62" t="s">
        <v>43</v>
      </c>
      <c r="AL62" t="s">
        <v>49</v>
      </c>
      <c r="AM62" t="s">
        <v>50</v>
      </c>
      <c r="AN62">
        <v>100</v>
      </c>
      <c r="AO62">
        <v>20</v>
      </c>
      <c r="AP62">
        <v>0.32749439985804402</v>
      </c>
      <c r="AQ62">
        <v>0.97230088495575195</v>
      </c>
      <c r="AR62">
        <v>1.3914126041508801</v>
      </c>
    </row>
    <row r="63" spans="1:44" x14ac:dyDescent="0.2">
      <c r="A63" t="s">
        <v>157</v>
      </c>
      <c r="B63">
        <v>62</v>
      </c>
      <c r="D63" t="s">
        <v>161</v>
      </c>
      <c r="E63" t="s">
        <v>162</v>
      </c>
      <c r="H63" t="s">
        <v>40</v>
      </c>
      <c r="I63">
        <v>20</v>
      </c>
      <c r="J63">
        <v>0.55555555555555602</v>
      </c>
      <c r="K63">
        <v>0.88888888888888895</v>
      </c>
      <c r="L63" t="s">
        <v>41</v>
      </c>
      <c r="N63" t="s">
        <v>42</v>
      </c>
      <c r="O63">
        <v>55</v>
      </c>
      <c r="Q63" t="s">
        <v>43</v>
      </c>
      <c r="R63" t="s">
        <v>43</v>
      </c>
      <c r="S63" t="s">
        <v>43</v>
      </c>
      <c r="T63" t="s">
        <v>50</v>
      </c>
      <c r="U63" t="s">
        <v>56</v>
      </c>
      <c r="V63" t="s">
        <v>45</v>
      </c>
      <c r="W63" t="s">
        <v>46</v>
      </c>
      <c r="X63">
        <v>64</v>
      </c>
      <c r="Y63">
        <v>16</v>
      </c>
      <c r="Z63">
        <v>96</v>
      </c>
      <c r="AA63">
        <v>1536</v>
      </c>
      <c r="AB63" t="s">
        <v>47</v>
      </c>
      <c r="AC63">
        <v>2</v>
      </c>
      <c r="AD63" t="s">
        <v>43</v>
      </c>
      <c r="AE63" t="s">
        <v>48</v>
      </c>
      <c r="AF63" t="s">
        <v>54</v>
      </c>
      <c r="AG63">
        <v>1000</v>
      </c>
      <c r="AH63">
        <v>0</v>
      </c>
      <c r="AI63">
        <v>1500</v>
      </c>
      <c r="AJ63">
        <v>1500</v>
      </c>
      <c r="AK63" t="s">
        <v>43</v>
      </c>
      <c r="AL63" t="s">
        <v>49</v>
      </c>
      <c r="AM63" t="s">
        <v>50</v>
      </c>
      <c r="AN63">
        <v>100</v>
      </c>
      <c r="AO63">
        <v>18</v>
      </c>
      <c r="AP63">
        <v>-0.26619455062804598</v>
      </c>
      <c r="AQ63">
        <v>0.95283018867924496</v>
      </c>
      <c r="AR63">
        <v>-0.86666666666666703</v>
      </c>
    </row>
    <row r="64" spans="1:44" x14ac:dyDescent="0.2">
      <c r="A64" t="s">
        <v>157</v>
      </c>
      <c r="B64">
        <v>63</v>
      </c>
      <c r="D64" t="s">
        <v>161</v>
      </c>
      <c r="E64" t="s">
        <v>163</v>
      </c>
      <c r="H64" t="s">
        <v>40</v>
      </c>
      <c r="I64">
        <v>20</v>
      </c>
      <c r="J64">
        <v>0.55555555555555602</v>
      </c>
      <c r="K64">
        <v>0.88888888888888895</v>
      </c>
      <c r="L64" t="s">
        <v>41</v>
      </c>
      <c r="N64" t="s">
        <v>42</v>
      </c>
      <c r="O64">
        <v>55</v>
      </c>
      <c r="Q64" t="s">
        <v>43</v>
      </c>
      <c r="R64" t="s">
        <v>43</v>
      </c>
      <c r="S64" t="s">
        <v>43</v>
      </c>
      <c r="T64" t="s">
        <v>50</v>
      </c>
      <c r="U64" t="s">
        <v>56</v>
      </c>
      <c r="V64" t="s">
        <v>45</v>
      </c>
      <c r="W64" t="s">
        <v>46</v>
      </c>
      <c r="X64">
        <v>64</v>
      </c>
      <c r="Y64">
        <v>16</v>
      </c>
      <c r="Z64">
        <v>96</v>
      </c>
      <c r="AA64">
        <v>1536</v>
      </c>
      <c r="AB64" t="s">
        <v>47</v>
      </c>
      <c r="AC64">
        <v>2</v>
      </c>
      <c r="AD64" t="s">
        <v>43</v>
      </c>
      <c r="AE64" t="s">
        <v>48</v>
      </c>
      <c r="AF64" t="s">
        <v>61</v>
      </c>
      <c r="AG64">
        <v>1000</v>
      </c>
      <c r="AH64">
        <v>0</v>
      </c>
      <c r="AI64">
        <v>1500</v>
      </c>
      <c r="AJ64">
        <v>1500</v>
      </c>
      <c r="AK64" t="s">
        <v>43</v>
      </c>
      <c r="AL64" t="s">
        <v>49</v>
      </c>
      <c r="AM64" t="s">
        <v>50</v>
      </c>
      <c r="AN64">
        <v>100</v>
      </c>
      <c r="AO64">
        <v>18</v>
      </c>
      <c r="AP64">
        <v>0.495347500317877</v>
      </c>
      <c r="AQ64">
        <v>0.96209359143018203</v>
      </c>
      <c r="AR64">
        <v>1.7990310468685999</v>
      </c>
    </row>
    <row r="65" spans="1:46" x14ac:dyDescent="0.2">
      <c r="A65" t="s">
        <v>164</v>
      </c>
      <c r="B65">
        <v>64</v>
      </c>
      <c r="D65" t="s">
        <v>165</v>
      </c>
      <c r="E65" t="s">
        <v>166</v>
      </c>
      <c r="H65" t="s">
        <v>40</v>
      </c>
      <c r="I65">
        <v>22.5</v>
      </c>
      <c r="J65">
        <v>0.19230769230769201</v>
      </c>
      <c r="K65">
        <v>0.84615384615384603</v>
      </c>
      <c r="L65" t="s">
        <v>41</v>
      </c>
      <c r="M65">
        <v>35</v>
      </c>
      <c r="N65" t="s">
        <v>42</v>
      </c>
      <c r="O65">
        <v>45</v>
      </c>
      <c r="Q65" t="s">
        <v>43</v>
      </c>
      <c r="R65" t="s">
        <v>43</v>
      </c>
      <c r="S65" t="s">
        <v>43</v>
      </c>
      <c r="T65" t="s">
        <v>43</v>
      </c>
      <c r="U65" t="s">
        <v>44</v>
      </c>
      <c r="V65" t="s">
        <v>45</v>
      </c>
      <c r="W65" t="s">
        <v>46</v>
      </c>
      <c r="Y65">
        <v>4</v>
      </c>
      <c r="Z65">
        <v>40</v>
      </c>
      <c r="AA65">
        <v>160</v>
      </c>
      <c r="AB65" t="s">
        <v>47</v>
      </c>
      <c r="AC65">
        <v>20</v>
      </c>
      <c r="AD65" t="s">
        <v>43</v>
      </c>
      <c r="AE65" t="s">
        <v>48</v>
      </c>
      <c r="AG65">
        <v>1000</v>
      </c>
      <c r="AH65">
        <v>0</v>
      </c>
      <c r="AK65" t="s">
        <v>43</v>
      </c>
      <c r="AL65" t="s">
        <v>49</v>
      </c>
      <c r="AM65" t="s">
        <v>43</v>
      </c>
      <c r="AN65">
        <v>0</v>
      </c>
      <c r="AO65">
        <v>26</v>
      </c>
      <c r="AP65">
        <v>-4.7121415816607497E-2</v>
      </c>
      <c r="AQ65">
        <v>0.95679999999999998</v>
      </c>
      <c r="AR65">
        <v>-0.16031031209472399</v>
      </c>
    </row>
    <row r="66" spans="1:46" x14ac:dyDescent="0.2">
      <c r="A66" t="s">
        <v>164</v>
      </c>
      <c r="B66">
        <v>65</v>
      </c>
      <c r="D66" t="s">
        <v>167</v>
      </c>
      <c r="E66" t="s">
        <v>168</v>
      </c>
      <c r="H66" t="s">
        <v>40</v>
      </c>
      <c r="I66">
        <v>23.7</v>
      </c>
      <c r="J66">
        <v>0.16666666666666699</v>
      </c>
      <c r="K66">
        <v>0.875</v>
      </c>
      <c r="L66" t="s">
        <v>41</v>
      </c>
      <c r="M66">
        <v>35</v>
      </c>
      <c r="N66" t="s">
        <v>42</v>
      </c>
      <c r="O66">
        <v>45</v>
      </c>
      <c r="Q66" t="s">
        <v>43</v>
      </c>
      <c r="R66" t="s">
        <v>43</v>
      </c>
      <c r="S66" t="s">
        <v>43</v>
      </c>
      <c r="T66" t="s">
        <v>43</v>
      </c>
      <c r="U66" t="s">
        <v>44</v>
      </c>
      <c r="V66" t="s">
        <v>45</v>
      </c>
      <c r="W66" t="s">
        <v>46</v>
      </c>
      <c r="Y66">
        <v>4</v>
      </c>
      <c r="Z66">
        <v>40</v>
      </c>
      <c r="AA66">
        <v>160</v>
      </c>
      <c r="AB66" t="s">
        <v>47</v>
      </c>
      <c r="AC66">
        <v>20</v>
      </c>
      <c r="AD66" t="s">
        <v>43</v>
      </c>
      <c r="AE66" t="s">
        <v>48</v>
      </c>
      <c r="AG66">
        <v>1000</v>
      </c>
      <c r="AH66">
        <v>0</v>
      </c>
      <c r="AK66" t="s">
        <v>43</v>
      </c>
      <c r="AL66" t="s">
        <v>49</v>
      </c>
      <c r="AM66" t="s">
        <v>43</v>
      </c>
      <c r="AN66">
        <v>0</v>
      </c>
      <c r="AO66">
        <v>24</v>
      </c>
      <c r="AP66">
        <v>0.104460848940502</v>
      </c>
      <c r="AQ66">
        <v>0.95679999999999998</v>
      </c>
      <c r="AR66">
        <v>0.35538302500303098</v>
      </c>
    </row>
    <row r="67" spans="1:46" x14ac:dyDescent="0.2">
      <c r="A67" t="s">
        <v>164</v>
      </c>
      <c r="B67">
        <v>66</v>
      </c>
      <c r="D67" t="s">
        <v>169</v>
      </c>
      <c r="E67" t="s">
        <v>170</v>
      </c>
      <c r="H67" t="s">
        <v>40</v>
      </c>
      <c r="I67">
        <v>19.77</v>
      </c>
      <c r="J67">
        <v>0.133333333333333</v>
      </c>
      <c r="K67">
        <v>0.9</v>
      </c>
      <c r="L67" t="s">
        <v>41</v>
      </c>
      <c r="M67">
        <v>35</v>
      </c>
      <c r="N67" t="s">
        <v>42</v>
      </c>
      <c r="O67">
        <v>45</v>
      </c>
      <c r="Q67" t="s">
        <v>43</v>
      </c>
      <c r="R67" t="s">
        <v>43</v>
      </c>
      <c r="S67" t="s">
        <v>43</v>
      </c>
      <c r="T67" t="s">
        <v>43</v>
      </c>
      <c r="U67" t="s">
        <v>91</v>
      </c>
      <c r="V67" t="s">
        <v>45</v>
      </c>
      <c r="W67" t="s">
        <v>46</v>
      </c>
      <c r="Y67">
        <v>4</v>
      </c>
      <c r="Z67">
        <v>40</v>
      </c>
      <c r="AA67">
        <v>160</v>
      </c>
      <c r="AB67" t="s">
        <v>47</v>
      </c>
      <c r="AC67">
        <v>20</v>
      </c>
      <c r="AD67" t="s">
        <v>43</v>
      </c>
      <c r="AE67" t="s">
        <v>48</v>
      </c>
      <c r="AG67">
        <v>1000</v>
      </c>
      <c r="AH67">
        <v>0</v>
      </c>
      <c r="AK67" t="s">
        <v>43</v>
      </c>
      <c r="AL67" t="s">
        <v>49</v>
      </c>
      <c r="AM67" t="s">
        <v>43</v>
      </c>
      <c r="AN67">
        <v>0</v>
      </c>
      <c r="AO67">
        <v>30</v>
      </c>
      <c r="AP67">
        <v>-0.131881020983316</v>
      </c>
      <c r="AQ67">
        <v>0.95679999999999998</v>
      </c>
      <c r="AR67">
        <v>-0.44866834467556499</v>
      </c>
    </row>
    <row r="68" spans="1:46" x14ac:dyDescent="0.2">
      <c r="A68" t="s">
        <v>171</v>
      </c>
      <c r="B68">
        <v>67</v>
      </c>
      <c r="D68" t="s">
        <v>172</v>
      </c>
      <c r="E68" t="s">
        <v>173</v>
      </c>
      <c r="H68" t="s">
        <v>40</v>
      </c>
      <c r="I68">
        <v>22.14</v>
      </c>
      <c r="J68">
        <v>0.214285714285714</v>
      </c>
      <c r="K68">
        <v>0.78571428571428603</v>
      </c>
      <c r="L68" t="s">
        <v>41</v>
      </c>
      <c r="N68" t="s">
        <v>42</v>
      </c>
      <c r="O68">
        <v>60</v>
      </c>
      <c r="Q68" t="s">
        <v>50</v>
      </c>
      <c r="R68" t="s">
        <v>43</v>
      </c>
      <c r="S68" t="s">
        <v>43</v>
      </c>
      <c r="T68" t="s">
        <v>43</v>
      </c>
      <c r="U68" t="s">
        <v>119</v>
      </c>
      <c r="V68" t="s">
        <v>119</v>
      </c>
      <c r="W68" t="s">
        <v>46</v>
      </c>
      <c r="X68">
        <v>48</v>
      </c>
      <c r="Y68">
        <v>4</v>
      </c>
      <c r="Z68">
        <v>120</v>
      </c>
      <c r="AA68">
        <v>480</v>
      </c>
      <c r="AB68" t="s">
        <v>47</v>
      </c>
      <c r="AC68">
        <v>5</v>
      </c>
      <c r="AD68" t="s">
        <v>43</v>
      </c>
      <c r="AE68" t="s">
        <v>48</v>
      </c>
      <c r="AG68">
        <v>1000</v>
      </c>
      <c r="AH68">
        <v>0</v>
      </c>
      <c r="AI68">
        <v>200</v>
      </c>
      <c r="AJ68">
        <v>2000</v>
      </c>
      <c r="AK68" t="s">
        <v>43</v>
      </c>
      <c r="AL68" t="s">
        <v>126</v>
      </c>
      <c r="AM68" t="s">
        <v>50</v>
      </c>
      <c r="AO68">
        <v>14</v>
      </c>
      <c r="AP68">
        <v>0.12203211022289499</v>
      </c>
      <c r="AQ68">
        <v>0.95679999999999998</v>
      </c>
      <c r="AR68">
        <v>0.41516166983495401</v>
      </c>
    </row>
    <row r="69" spans="1:46" x14ac:dyDescent="0.2">
      <c r="A69" t="s">
        <v>174</v>
      </c>
      <c r="B69">
        <v>68</v>
      </c>
      <c r="D69" t="s">
        <v>175</v>
      </c>
      <c r="E69" t="s">
        <v>176</v>
      </c>
      <c r="H69" t="s">
        <v>40</v>
      </c>
      <c r="I69">
        <v>22</v>
      </c>
      <c r="J69">
        <v>0.38333333333333303</v>
      </c>
      <c r="L69" t="s">
        <v>41</v>
      </c>
      <c r="M69">
        <v>13.3</v>
      </c>
      <c r="N69" t="s">
        <v>42</v>
      </c>
      <c r="O69">
        <v>57</v>
      </c>
      <c r="Q69" t="s">
        <v>43</v>
      </c>
      <c r="R69" t="s">
        <v>43</v>
      </c>
      <c r="S69" t="s">
        <v>43</v>
      </c>
      <c r="T69" t="s">
        <v>43</v>
      </c>
      <c r="U69" t="s">
        <v>44</v>
      </c>
      <c r="V69" t="s">
        <v>45</v>
      </c>
      <c r="W69" t="s">
        <v>46</v>
      </c>
      <c r="X69">
        <v>0</v>
      </c>
      <c r="Y69">
        <v>1</v>
      </c>
      <c r="Z69">
        <v>192</v>
      </c>
      <c r="AA69">
        <v>192</v>
      </c>
      <c r="AB69" t="s">
        <v>47</v>
      </c>
      <c r="AC69">
        <v>7</v>
      </c>
      <c r="AD69" t="s">
        <v>43</v>
      </c>
      <c r="AE69" t="s">
        <v>48</v>
      </c>
      <c r="AG69">
        <v>500</v>
      </c>
      <c r="AH69">
        <v>1500</v>
      </c>
      <c r="AI69">
        <v>1000</v>
      </c>
      <c r="AJ69">
        <v>1000</v>
      </c>
      <c r="AK69" t="s">
        <v>43</v>
      </c>
      <c r="AL69" t="s">
        <v>49</v>
      </c>
      <c r="AM69" t="s">
        <v>43</v>
      </c>
      <c r="AN69">
        <v>0</v>
      </c>
      <c r="AO69">
        <v>20</v>
      </c>
      <c r="AP69">
        <v>0.18600658052875399</v>
      </c>
      <c r="AQ69">
        <v>0.95679999999999998</v>
      </c>
      <c r="AR69">
        <v>0.63280723763243996</v>
      </c>
    </row>
    <row r="70" spans="1:46" x14ac:dyDescent="0.2">
      <c r="A70" t="s">
        <v>177</v>
      </c>
      <c r="B70">
        <v>69</v>
      </c>
      <c r="D70" t="s">
        <v>178</v>
      </c>
      <c r="E70" t="s">
        <v>179</v>
      </c>
      <c r="G70" t="s">
        <v>300</v>
      </c>
      <c r="H70" t="s">
        <v>40</v>
      </c>
      <c r="L70" t="s">
        <v>41</v>
      </c>
      <c r="N70" t="s">
        <v>42</v>
      </c>
      <c r="O70">
        <v>45</v>
      </c>
      <c r="P70">
        <v>15</v>
      </c>
      <c r="Q70" t="s">
        <v>50</v>
      </c>
      <c r="R70" t="s">
        <v>43</v>
      </c>
      <c r="S70" t="s">
        <v>43</v>
      </c>
      <c r="T70" t="s">
        <v>43</v>
      </c>
      <c r="U70" t="s">
        <v>119</v>
      </c>
      <c r="V70" t="s">
        <v>119</v>
      </c>
      <c r="W70" t="s">
        <v>71</v>
      </c>
      <c r="X70">
        <v>40</v>
      </c>
      <c r="Y70">
        <v>2</v>
      </c>
      <c r="Z70">
        <v>140</v>
      </c>
      <c r="AA70">
        <v>280</v>
      </c>
      <c r="AB70" t="s">
        <v>47</v>
      </c>
      <c r="AC70">
        <v>20</v>
      </c>
      <c r="AD70" t="s">
        <v>43</v>
      </c>
      <c r="AE70" t="s">
        <v>48</v>
      </c>
      <c r="AG70">
        <v>1500</v>
      </c>
      <c r="AH70">
        <v>0</v>
      </c>
      <c r="AI70">
        <v>11.8</v>
      </c>
      <c r="AK70" t="s">
        <v>50</v>
      </c>
      <c r="AL70" t="s">
        <v>126</v>
      </c>
      <c r="AM70" t="s">
        <v>43</v>
      </c>
      <c r="AN70">
        <v>0</v>
      </c>
      <c r="AO70">
        <v>20</v>
      </c>
      <c r="AP70">
        <v>0.26706403726447298</v>
      </c>
      <c r="AQ70">
        <v>0.95679999999999998</v>
      </c>
      <c r="AR70">
        <v>0.90857030547998896</v>
      </c>
      <c r="AT70">
        <v>16.510000000000002</v>
      </c>
    </row>
    <row r="71" spans="1:46" x14ac:dyDescent="0.2">
      <c r="A71" t="s">
        <v>180</v>
      </c>
      <c r="B71">
        <v>70</v>
      </c>
      <c r="D71" t="s">
        <v>181</v>
      </c>
      <c r="E71" t="s">
        <v>182</v>
      </c>
      <c r="H71" t="s">
        <v>40</v>
      </c>
      <c r="K71">
        <v>0.92857142857142805</v>
      </c>
      <c r="L71" t="s">
        <v>70</v>
      </c>
      <c r="M71">
        <v>1.5</v>
      </c>
      <c r="N71" t="s">
        <v>42</v>
      </c>
      <c r="O71">
        <v>60</v>
      </c>
      <c r="P71">
        <v>25</v>
      </c>
      <c r="Q71" t="s">
        <v>50</v>
      </c>
      <c r="R71" t="s">
        <v>50</v>
      </c>
      <c r="S71" t="s">
        <v>43</v>
      </c>
      <c r="T71" t="s">
        <v>50</v>
      </c>
      <c r="U71" t="s">
        <v>44</v>
      </c>
      <c r="V71" t="s">
        <v>45</v>
      </c>
      <c r="W71" t="s">
        <v>71</v>
      </c>
      <c r="X71">
        <v>32</v>
      </c>
      <c r="Y71">
        <v>2</v>
      </c>
      <c r="Z71">
        <v>176</v>
      </c>
      <c r="AA71">
        <v>352</v>
      </c>
      <c r="AB71" t="s">
        <v>356</v>
      </c>
      <c r="AC71">
        <v>1</v>
      </c>
      <c r="AD71" t="s">
        <v>43</v>
      </c>
      <c r="AE71" t="s">
        <v>48</v>
      </c>
      <c r="AF71" t="s">
        <v>134</v>
      </c>
      <c r="AG71">
        <v>1000</v>
      </c>
      <c r="AH71">
        <v>0</v>
      </c>
      <c r="AK71" t="s">
        <v>43</v>
      </c>
      <c r="AL71" t="s">
        <v>49</v>
      </c>
      <c r="AM71" t="s">
        <v>43</v>
      </c>
      <c r="AN71">
        <v>0</v>
      </c>
      <c r="AO71">
        <v>28</v>
      </c>
      <c r="AP71">
        <v>0.211426205064079</v>
      </c>
      <c r="AQ71">
        <v>0.95679999999999998</v>
      </c>
      <c r="AR71">
        <v>0.71928655647226802</v>
      </c>
    </row>
    <row r="72" spans="1:46" x14ac:dyDescent="0.2">
      <c r="A72" t="s">
        <v>180</v>
      </c>
      <c r="B72">
        <v>71</v>
      </c>
      <c r="D72" t="s">
        <v>183</v>
      </c>
      <c r="E72" t="s">
        <v>184</v>
      </c>
      <c r="H72" t="s">
        <v>40</v>
      </c>
      <c r="K72">
        <v>0.96666666666666601</v>
      </c>
      <c r="L72" t="s">
        <v>70</v>
      </c>
      <c r="M72">
        <v>1.5</v>
      </c>
      <c r="N72" t="s">
        <v>42</v>
      </c>
      <c r="O72">
        <v>60</v>
      </c>
      <c r="P72">
        <v>25</v>
      </c>
      <c r="Q72" t="s">
        <v>50</v>
      </c>
      <c r="R72" t="s">
        <v>50</v>
      </c>
      <c r="S72" t="s">
        <v>43</v>
      </c>
      <c r="T72" t="s">
        <v>50</v>
      </c>
      <c r="U72" t="s">
        <v>44</v>
      </c>
      <c r="V72" t="s">
        <v>45</v>
      </c>
      <c r="W72" t="s">
        <v>71</v>
      </c>
      <c r="X72">
        <v>32</v>
      </c>
      <c r="Y72">
        <v>2</v>
      </c>
      <c r="Z72">
        <v>176</v>
      </c>
      <c r="AA72">
        <v>352</v>
      </c>
      <c r="AB72" t="s">
        <v>47</v>
      </c>
      <c r="AC72">
        <v>1</v>
      </c>
      <c r="AD72" t="s">
        <v>43</v>
      </c>
      <c r="AE72" t="s">
        <v>48</v>
      </c>
      <c r="AF72" t="s">
        <v>134</v>
      </c>
      <c r="AG72">
        <v>1000</v>
      </c>
      <c r="AH72">
        <v>0</v>
      </c>
      <c r="AK72" t="s">
        <v>43</v>
      </c>
      <c r="AL72" t="s">
        <v>49</v>
      </c>
      <c r="AM72" t="s">
        <v>43</v>
      </c>
      <c r="AN72">
        <v>0</v>
      </c>
      <c r="AO72">
        <v>30</v>
      </c>
      <c r="AP72">
        <v>7.6220923035956706E-2</v>
      </c>
      <c r="AQ72">
        <v>0.95679999999999998</v>
      </c>
      <c r="AR72">
        <v>0.259308846058391</v>
      </c>
    </row>
    <row r="73" spans="1:46" x14ac:dyDescent="0.2">
      <c r="A73" t="s">
        <v>180</v>
      </c>
      <c r="B73">
        <v>72</v>
      </c>
      <c r="D73" t="s">
        <v>185</v>
      </c>
      <c r="E73" t="s">
        <v>186</v>
      </c>
      <c r="H73" t="s">
        <v>40</v>
      </c>
      <c r="K73">
        <v>0.92857142857142805</v>
      </c>
      <c r="L73" t="s">
        <v>70</v>
      </c>
      <c r="M73">
        <v>1.5</v>
      </c>
      <c r="N73" t="s">
        <v>42</v>
      </c>
      <c r="O73">
        <v>60</v>
      </c>
      <c r="P73">
        <v>25</v>
      </c>
      <c r="Q73" t="s">
        <v>50</v>
      </c>
      <c r="R73" t="s">
        <v>50</v>
      </c>
      <c r="S73" t="s">
        <v>43</v>
      </c>
      <c r="T73" t="s">
        <v>50</v>
      </c>
      <c r="U73" t="s">
        <v>44</v>
      </c>
      <c r="V73" t="s">
        <v>45</v>
      </c>
      <c r="W73" t="s">
        <v>71</v>
      </c>
      <c r="X73">
        <v>32</v>
      </c>
      <c r="Y73">
        <v>2</v>
      </c>
      <c r="Z73">
        <v>176</v>
      </c>
      <c r="AA73">
        <v>352</v>
      </c>
      <c r="AB73" t="s">
        <v>356</v>
      </c>
      <c r="AC73">
        <v>1</v>
      </c>
      <c r="AD73" t="s">
        <v>43</v>
      </c>
      <c r="AE73" t="s">
        <v>48</v>
      </c>
      <c r="AF73" t="s">
        <v>134</v>
      </c>
      <c r="AG73">
        <v>1000</v>
      </c>
      <c r="AH73">
        <v>0</v>
      </c>
      <c r="AK73" t="s">
        <v>43</v>
      </c>
      <c r="AL73" t="s">
        <v>49</v>
      </c>
      <c r="AM73" t="s">
        <v>43</v>
      </c>
      <c r="AN73">
        <v>0</v>
      </c>
      <c r="AO73">
        <v>28</v>
      </c>
      <c r="AP73">
        <v>0.14440071618495701</v>
      </c>
      <c r="AQ73">
        <v>0.95679999999999998</v>
      </c>
      <c r="AR73">
        <v>0.49126121270221901</v>
      </c>
    </row>
    <row r="74" spans="1:46" x14ac:dyDescent="0.2">
      <c r="A74" t="s">
        <v>180</v>
      </c>
      <c r="B74">
        <v>73</v>
      </c>
      <c r="D74" t="s">
        <v>185</v>
      </c>
      <c r="E74" t="s">
        <v>187</v>
      </c>
      <c r="H74" t="s">
        <v>40</v>
      </c>
      <c r="K74">
        <v>0.92857142857142805</v>
      </c>
      <c r="L74" t="s">
        <v>70</v>
      </c>
      <c r="M74">
        <v>1.5</v>
      </c>
      <c r="N74" t="s">
        <v>42</v>
      </c>
      <c r="O74">
        <v>60</v>
      </c>
      <c r="P74">
        <v>25</v>
      </c>
      <c r="Q74" t="s">
        <v>50</v>
      </c>
      <c r="R74" t="s">
        <v>50</v>
      </c>
      <c r="S74" t="s">
        <v>43</v>
      </c>
      <c r="T74" t="s">
        <v>50</v>
      </c>
      <c r="U74" t="s">
        <v>44</v>
      </c>
      <c r="V74" t="s">
        <v>45</v>
      </c>
      <c r="W74" t="s">
        <v>71</v>
      </c>
      <c r="X74">
        <v>32</v>
      </c>
      <c r="Y74">
        <v>2</v>
      </c>
      <c r="Z74">
        <v>176</v>
      </c>
      <c r="AA74">
        <v>352</v>
      </c>
      <c r="AB74" t="s">
        <v>47</v>
      </c>
      <c r="AC74">
        <v>1</v>
      </c>
      <c r="AD74" t="s">
        <v>43</v>
      </c>
      <c r="AE74" t="s">
        <v>48</v>
      </c>
      <c r="AF74" t="s">
        <v>134</v>
      </c>
      <c r="AG74">
        <v>1000</v>
      </c>
      <c r="AH74">
        <v>0</v>
      </c>
      <c r="AK74" t="s">
        <v>43</v>
      </c>
      <c r="AL74" t="s">
        <v>49</v>
      </c>
      <c r="AM74" t="s">
        <v>43</v>
      </c>
      <c r="AN74">
        <v>0</v>
      </c>
      <c r="AO74">
        <v>28</v>
      </c>
      <c r="AP74">
        <v>3.5995543739563998E-2</v>
      </c>
      <c r="AQ74">
        <v>0.95679999999999998</v>
      </c>
      <c r="AR74">
        <v>0.122459326633285</v>
      </c>
    </row>
    <row r="75" spans="1:46" x14ac:dyDescent="0.2">
      <c r="A75" t="s">
        <v>180</v>
      </c>
      <c r="B75">
        <v>74</v>
      </c>
      <c r="D75" t="s">
        <v>181</v>
      </c>
      <c r="E75" t="s">
        <v>188</v>
      </c>
      <c r="H75" t="s">
        <v>40</v>
      </c>
      <c r="K75">
        <v>0.92857142857142805</v>
      </c>
      <c r="L75" t="s">
        <v>41</v>
      </c>
      <c r="M75">
        <v>35.5</v>
      </c>
      <c r="N75" t="s">
        <v>42</v>
      </c>
      <c r="O75">
        <v>60</v>
      </c>
      <c r="P75">
        <v>25</v>
      </c>
      <c r="Q75" t="s">
        <v>50</v>
      </c>
      <c r="R75" t="s">
        <v>50</v>
      </c>
      <c r="S75" t="s">
        <v>43</v>
      </c>
      <c r="T75" t="s">
        <v>50</v>
      </c>
      <c r="U75" t="s">
        <v>44</v>
      </c>
      <c r="V75" t="s">
        <v>45</v>
      </c>
      <c r="W75" t="s">
        <v>71</v>
      </c>
      <c r="X75">
        <v>32</v>
      </c>
      <c r="Y75">
        <v>2</v>
      </c>
      <c r="Z75">
        <v>176</v>
      </c>
      <c r="AA75">
        <v>352</v>
      </c>
      <c r="AB75" t="s">
        <v>356</v>
      </c>
      <c r="AC75">
        <v>1</v>
      </c>
      <c r="AD75" t="s">
        <v>43</v>
      </c>
      <c r="AE75" t="s">
        <v>48</v>
      </c>
      <c r="AF75" t="s">
        <v>134</v>
      </c>
      <c r="AG75">
        <v>1000</v>
      </c>
      <c r="AH75">
        <v>0</v>
      </c>
      <c r="AK75" t="s">
        <v>43</v>
      </c>
      <c r="AL75" t="s">
        <v>49</v>
      </c>
      <c r="AM75" t="s">
        <v>43</v>
      </c>
      <c r="AN75">
        <v>0</v>
      </c>
      <c r="AO75">
        <v>28</v>
      </c>
      <c r="AP75">
        <v>0.34980768286535302</v>
      </c>
      <c r="AQ75">
        <v>0.95679999999999998</v>
      </c>
      <c r="AR75">
        <v>1.19006990434088</v>
      </c>
    </row>
    <row r="76" spans="1:46" x14ac:dyDescent="0.2">
      <c r="A76" t="s">
        <v>180</v>
      </c>
      <c r="B76">
        <v>75</v>
      </c>
      <c r="D76" t="s">
        <v>183</v>
      </c>
      <c r="E76" t="s">
        <v>189</v>
      </c>
      <c r="H76" t="s">
        <v>40</v>
      </c>
      <c r="K76">
        <v>0.96666666666666601</v>
      </c>
      <c r="L76" t="s">
        <v>41</v>
      </c>
      <c r="M76">
        <v>35.5</v>
      </c>
      <c r="N76" t="s">
        <v>42</v>
      </c>
      <c r="O76">
        <v>60</v>
      </c>
      <c r="P76">
        <v>25</v>
      </c>
      <c r="Q76" t="s">
        <v>50</v>
      </c>
      <c r="R76" t="s">
        <v>50</v>
      </c>
      <c r="S76" t="s">
        <v>43</v>
      </c>
      <c r="T76" t="s">
        <v>50</v>
      </c>
      <c r="U76" t="s">
        <v>44</v>
      </c>
      <c r="V76" t="s">
        <v>45</v>
      </c>
      <c r="W76" t="s">
        <v>71</v>
      </c>
      <c r="X76">
        <v>32</v>
      </c>
      <c r="Y76">
        <v>2</v>
      </c>
      <c r="Z76">
        <v>176</v>
      </c>
      <c r="AA76">
        <v>352</v>
      </c>
      <c r="AB76" t="s">
        <v>47</v>
      </c>
      <c r="AC76">
        <v>1</v>
      </c>
      <c r="AD76" t="s">
        <v>43</v>
      </c>
      <c r="AE76" t="s">
        <v>48</v>
      </c>
      <c r="AF76" t="s">
        <v>134</v>
      </c>
      <c r="AG76">
        <v>1000</v>
      </c>
      <c r="AH76">
        <v>0</v>
      </c>
      <c r="AK76" t="s">
        <v>43</v>
      </c>
      <c r="AL76" t="s">
        <v>49</v>
      </c>
      <c r="AM76" t="s">
        <v>43</v>
      </c>
      <c r="AN76">
        <v>0</v>
      </c>
      <c r="AO76">
        <v>30</v>
      </c>
      <c r="AP76">
        <v>0.20554221686607599</v>
      </c>
      <c r="AQ76">
        <v>0.95679999999999998</v>
      </c>
      <c r="AR76">
        <v>0.699268822114402</v>
      </c>
    </row>
    <row r="77" spans="1:46" x14ac:dyDescent="0.2">
      <c r="A77" t="s">
        <v>180</v>
      </c>
      <c r="B77">
        <v>76</v>
      </c>
      <c r="D77" t="s">
        <v>190</v>
      </c>
      <c r="E77" t="s">
        <v>191</v>
      </c>
      <c r="H77" t="s">
        <v>40</v>
      </c>
      <c r="K77">
        <v>0.96428571428571397</v>
      </c>
      <c r="L77" t="s">
        <v>41</v>
      </c>
      <c r="M77">
        <v>35.5</v>
      </c>
      <c r="N77" t="s">
        <v>42</v>
      </c>
      <c r="O77">
        <v>60</v>
      </c>
      <c r="P77">
        <v>25</v>
      </c>
      <c r="Q77" t="s">
        <v>50</v>
      </c>
      <c r="R77" t="s">
        <v>50</v>
      </c>
      <c r="S77" t="s">
        <v>43</v>
      </c>
      <c r="T77" t="s">
        <v>50</v>
      </c>
      <c r="U77" t="s">
        <v>44</v>
      </c>
      <c r="V77" t="s">
        <v>45</v>
      </c>
      <c r="W77" t="s">
        <v>71</v>
      </c>
      <c r="X77">
        <v>32</v>
      </c>
      <c r="Y77">
        <v>2</v>
      </c>
      <c r="Z77">
        <v>176</v>
      </c>
      <c r="AA77">
        <v>352</v>
      </c>
      <c r="AB77" t="s">
        <v>356</v>
      </c>
      <c r="AC77">
        <v>1</v>
      </c>
      <c r="AD77" t="s">
        <v>43</v>
      </c>
      <c r="AE77" t="s">
        <v>48</v>
      </c>
      <c r="AF77" t="s">
        <v>134</v>
      </c>
      <c r="AG77">
        <v>1000</v>
      </c>
      <c r="AH77">
        <v>0</v>
      </c>
      <c r="AK77" t="s">
        <v>43</v>
      </c>
      <c r="AL77" t="s">
        <v>49</v>
      </c>
      <c r="AM77" t="s">
        <v>43</v>
      </c>
      <c r="AN77">
        <v>0</v>
      </c>
      <c r="AO77">
        <v>28</v>
      </c>
      <c r="AP77">
        <v>9.0715778225298901E-2</v>
      </c>
      <c r="AQ77">
        <v>0.95679999999999998</v>
      </c>
      <c r="AR77">
        <v>0.30862134482147702</v>
      </c>
    </row>
    <row r="78" spans="1:46" x14ac:dyDescent="0.2">
      <c r="A78" t="s">
        <v>180</v>
      </c>
      <c r="B78">
        <v>77</v>
      </c>
      <c r="D78" t="s">
        <v>190</v>
      </c>
      <c r="E78" t="s">
        <v>192</v>
      </c>
      <c r="H78" t="s">
        <v>40</v>
      </c>
      <c r="K78">
        <v>0.96428571428571397</v>
      </c>
      <c r="L78" t="s">
        <v>41</v>
      </c>
      <c r="M78">
        <v>35.5</v>
      </c>
      <c r="N78" t="s">
        <v>42</v>
      </c>
      <c r="O78">
        <v>60</v>
      </c>
      <c r="P78">
        <v>25</v>
      </c>
      <c r="Q78" t="s">
        <v>50</v>
      </c>
      <c r="R78" t="s">
        <v>50</v>
      </c>
      <c r="S78" t="s">
        <v>43</v>
      </c>
      <c r="T78" t="s">
        <v>50</v>
      </c>
      <c r="U78" t="s">
        <v>44</v>
      </c>
      <c r="V78" t="s">
        <v>45</v>
      </c>
      <c r="W78" t="s">
        <v>71</v>
      </c>
      <c r="X78">
        <v>32</v>
      </c>
      <c r="Y78">
        <v>2</v>
      </c>
      <c r="Z78">
        <v>176</v>
      </c>
      <c r="AA78">
        <v>352</v>
      </c>
      <c r="AB78" t="s">
        <v>47</v>
      </c>
      <c r="AC78">
        <v>1</v>
      </c>
      <c r="AD78" t="s">
        <v>43</v>
      </c>
      <c r="AE78" t="s">
        <v>48</v>
      </c>
      <c r="AF78" t="s">
        <v>134</v>
      </c>
      <c r="AG78">
        <v>1000</v>
      </c>
      <c r="AH78">
        <v>0</v>
      </c>
      <c r="AK78" t="s">
        <v>43</v>
      </c>
      <c r="AL78" t="s">
        <v>49</v>
      </c>
      <c r="AM78" t="s">
        <v>43</v>
      </c>
      <c r="AN78">
        <v>0</v>
      </c>
      <c r="AO78">
        <v>28</v>
      </c>
      <c r="AP78">
        <v>0.13727423674115399</v>
      </c>
      <c r="AQ78">
        <v>0.95679999999999998</v>
      </c>
      <c r="AR78">
        <v>0.46701643728589698</v>
      </c>
    </row>
    <row r="79" spans="1:46" x14ac:dyDescent="0.2">
      <c r="A79" t="s">
        <v>193</v>
      </c>
      <c r="B79">
        <v>78</v>
      </c>
      <c r="D79" t="s">
        <v>194</v>
      </c>
      <c r="E79" t="s">
        <v>195</v>
      </c>
      <c r="H79" t="s">
        <v>40</v>
      </c>
      <c r="I79">
        <v>22.9</v>
      </c>
      <c r="J79">
        <v>0.65</v>
      </c>
      <c r="L79" t="s">
        <v>41</v>
      </c>
      <c r="M79">
        <v>15.2</v>
      </c>
      <c r="N79" t="s">
        <v>42</v>
      </c>
      <c r="O79">
        <v>58</v>
      </c>
      <c r="Q79" t="s">
        <v>43</v>
      </c>
      <c r="R79" t="s">
        <v>43</v>
      </c>
      <c r="S79" t="s">
        <v>50</v>
      </c>
      <c r="T79" t="s">
        <v>43</v>
      </c>
      <c r="U79" t="s">
        <v>56</v>
      </c>
      <c r="V79" t="s">
        <v>45</v>
      </c>
      <c r="W79" t="s">
        <v>46</v>
      </c>
      <c r="X79">
        <v>32</v>
      </c>
      <c r="Y79">
        <v>2</v>
      </c>
      <c r="Z79">
        <v>200</v>
      </c>
      <c r="AA79">
        <v>400</v>
      </c>
      <c r="AB79" t="s">
        <v>120</v>
      </c>
      <c r="AC79">
        <v>1</v>
      </c>
      <c r="AD79" t="s">
        <v>43</v>
      </c>
      <c r="AE79" t="s">
        <v>48</v>
      </c>
      <c r="AK79" t="s">
        <v>43</v>
      </c>
      <c r="AL79" t="s">
        <v>49</v>
      </c>
      <c r="AM79" t="s">
        <v>43</v>
      </c>
      <c r="AN79">
        <v>0</v>
      </c>
      <c r="AO79">
        <v>20</v>
      </c>
      <c r="AP79">
        <v>-0.19364297043786499</v>
      </c>
      <c r="AQ79">
        <v>0.95679999999999998</v>
      </c>
      <c r="AR79">
        <v>-0.65878676368002398</v>
      </c>
    </row>
    <row r="80" spans="1:46" x14ac:dyDescent="0.2">
      <c r="A80" t="s">
        <v>193</v>
      </c>
      <c r="B80">
        <v>79</v>
      </c>
      <c r="D80" t="s">
        <v>196</v>
      </c>
      <c r="E80" t="s">
        <v>197</v>
      </c>
      <c r="H80" t="s">
        <v>40</v>
      </c>
      <c r="I80">
        <v>23.8</v>
      </c>
      <c r="J80">
        <v>0.66666666666666696</v>
      </c>
      <c r="L80" t="s">
        <v>41</v>
      </c>
      <c r="M80">
        <v>15.2</v>
      </c>
      <c r="N80" t="s">
        <v>42</v>
      </c>
      <c r="O80">
        <v>58</v>
      </c>
      <c r="Q80" t="s">
        <v>43</v>
      </c>
      <c r="R80" t="s">
        <v>43</v>
      </c>
      <c r="S80" t="s">
        <v>50</v>
      </c>
      <c r="T80" t="s">
        <v>43</v>
      </c>
      <c r="U80" t="s">
        <v>44</v>
      </c>
      <c r="V80" t="s">
        <v>45</v>
      </c>
      <c r="W80" t="s">
        <v>46</v>
      </c>
      <c r="X80">
        <v>32</v>
      </c>
      <c r="Y80">
        <v>2</v>
      </c>
      <c r="Z80">
        <v>200</v>
      </c>
      <c r="AA80">
        <v>400</v>
      </c>
      <c r="AB80" t="s">
        <v>120</v>
      </c>
      <c r="AC80">
        <v>1</v>
      </c>
      <c r="AD80" t="s">
        <v>43</v>
      </c>
      <c r="AE80" t="s">
        <v>48</v>
      </c>
      <c r="AK80" t="s">
        <v>43</v>
      </c>
      <c r="AL80" t="s">
        <v>49</v>
      </c>
      <c r="AM80" t="s">
        <v>43</v>
      </c>
      <c r="AN80">
        <v>0</v>
      </c>
      <c r="AO80">
        <v>28</v>
      </c>
      <c r="AP80">
        <v>0.18590320061795601</v>
      </c>
      <c r="AQ80">
        <v>0.95679999999999998</v>
      </c>
      <c r="AR80">
        <v>0.63245553203367599</v>
      </c>
    </row>
    <row r="81" spans="1:44" x14ac:dyDescent="0.2">
      <c r="A81" t="s">
        <v>198</v>
      </c>
      <c r="B81">
        <v>80</v>
      </c>
      <c r="D81" t="s">
        <v>199</v>
      </c>
      <c r="E81" t="s">
        <v>200</v>
      </c>
      <c r="H81" t="s">
        <v>40</v>
      </c>
      <c r="I81">
        <v>25.1</v>
      </c>
      <c r="J81">
        <v>0.3</v>
      </c>
      <c r="K81">
        <v>1</v>
      </c>
      <c r="L81" t="s">
        <v>41</v>
      </c>
      <c r="N81" t="s">
        <v>42</v>
      </c>
      <c r="O81">
        <v>58</v>
      </c>
      <c r="Q81" t="s">
        <v>50</v>
      </c>
      <c r="R81" t="s">
        <v>50</v>
      </c>
      <c r="S81" t="s">
        <v>50</v>
      </c>
      <c r="T81" t="s">
        <v>43</v>
      </c>
      <c r="U81" t="s">
        <v>91</v>
      </c>
      <c r="V81" t="s">
        <v>45</v>
      </c>
      <c r="W81" t="s">
        <v>46</v>
      </c>
      <c r="X81">
        <v>16</v>
      </c>
      <c r="Y81">
        <v>2</v>
      </c>
      <c r="Z81">
        <v>200</v>
      </c>
      <c r="AA81">
        <v>400</v>
      </c>
      <c r="AB81" t="s">
        <v>120</v>
      </c>
      <c r="AC81">
        <v>2</v>
      </c>
      <c r="AD81" t="s">
        <v>43</v>
      </c>
      <c r="AE81" t="s">
        <v>48</v>
      </c>
      <c r="AG81">
        <v>1000</v>
      </c>
      <c r="AH81">
        <v>500</v>
      </c>
      <c r="AI81">
        <v>1000</v>
      </c>
      <c r="AJ81">
        <v>1000</v>
      </c>
      <c r="AK81" t="s">
        <v>43</v>
      </c>
      <c r="AL81" t="s">
        <v>49</v>
      </c>
      <c r="AM81" t="s">
        <v>50</v>
      </c>
      <c r="AN81">
        <v>500</v>
      </c>
      <c r="AO81">
        <v>20</v>
      </c>
      <c r="AP81">
        <v>0.126939576156685</v>
      </c>
      <c r="AQ81">
        <v>0.95679999999999998</v>
      </c>
      <c r="AR81">
        <v>0.431857207984784</v>
      </c>
    </row>
    <row r="82" spans="1:44" x14ac:dyDescent="0.2">
      <c r="A82" t="s">
        <v>198</v>
      </c>
      <c r="B82">
        <v>81</v>
      </c>
      <c r="D82" t="s">
        <v>201</v>
      </c>
      <c r="E82" t="s">
        <v>202</v>
      </c>
      <c r="H82" t="s">
        <v>40</v>
      </c>
      <c r="I82">
        <v>20.5</v>
      </c>
      <c r="J82">
        <v>0.6</v>
      </c>
      <c r="K82">
        <v>1</v>
      </c>
      <c r="L82" t="s">
        <v>41</v>
      </c>
      <c r="N82" t="s">
        <v>42</v>
      </c>
      <c r="O82">
        <v>58</v>
      </c>
      <c r="Q82" t="s">
        <v>50</v>
      </c>
      <c r="R82" t="s">
        <v>50</v>
      </c>
      <c r="S82" t="s">
        <v>50</v>
      </c>
      <c r="T82" t="s">
        <v>43</v>
      </c>
      <c r="U82" t="s">
        <v>91</v>
      </c>
      <c r="V82" t="s">
        <v>45</v>
      </c>
      <c r="W82" t="s">
        <v>46</v>
      </c>
      <c r="X82">
        <v>16</v>
      </c>
      <c r="Y82">
        <v>2</v>
      </c>
      <c r="Z82">
        <v>200</v>
      </c>
      <c r="AA82">
        <v>400</v>
      </c>
      <c r="AB82" t="s">
        <v>120</v>
      </c>
      <c r="AC82">
        <v>2</v>
      </c>
      <c r="AD82" t="s">
        <v>43</v>
      </c>
      <c r="AE82" t="s">
        <v>48</v>
      </c>
      <c r="AG82">
        <v>1000</v>
      </c>
      <c r="AH82">
        <v>500</v>
      </c>
      <c r="AI82">
        <v>1000</v>
      </c>
      <c r="AJ82">
        <v>1000</v>
      </c>
      <c r="AK82" t="s">
        <v>43</v>
      </c>
      <c r="AL82" t="s">
        <v>49</v>
      </c>
      <c r="AM82" t="s">
        <v>50</v>
      </c>
      <c r="AN82">
        <v>500</v>
      </c>
      <c r="AO82">
        <v>20</v>
      </c>
      <c r="AP82">
        <v>-0.18997438092576199</v>
      </c>
      <c r="AQ82">
        <v>0.95679999999999998</v>
      </c>
      <c r="AR82">
        <v>-0.64630596870727497</v>
      </c>
    </row>
    <row r="83" spans="1:44" x14ac:dyDescent="0.2">
      <c r="A83" t="s">
        <v>198</v>
      </c>
      <c r="B83">
        <v>82</v>
      </c>
      <c r="D83" t="s">
        <v>203</v>
      </c>
      <c r="E83" t="s">
        <v>204</v>
      </c>
      <c r="H83" t="s">
        <v>40</v>
      </c>
      <c r="I83">
        <v>23.2</v>
      </c>
      <c r="J83">
        <v>0.3</v>
      </c>
      <c r="K83">
        <v>1</v>
      </c>
      <c r="L83" t="s">
        <v>41</v>
      </c>
      <c r="N83" t="s">
        <v>42</v>
      </c>
      <c r="O83">
        <v>58</v>
      </c>
      <c r="Q83" t="s">
        <v>50</v>
      </c>
      <c r="R83" t="s">
        <v>50</v>
      </c>
      <c r="S83" t="s">
        <v>50</v>
      </c>
      <c r="T83" t="s">
        <v>43</v>
      </c>
      <c r="U83" t="s">
        <v>91</v>
      </c>
      <c r="V83" t="s">
        <v>45</v>
      </c>
      <c r="W83" t="s">
        <v>46</v>
      </c>
      <c r="X83">
        <v>16</v>
      </c>
      <c r="Y83">
        <v>2</v>
      </c>
      <c r="Z83">
        <v>200</v>
      </c>
      <c r="AA83">
        <v>400</v>
      </c>
      <c r="AB83" t="s">
        <v>120</v>
      </c>
      <c r="AC83">
        <v>2</v>
      </c>
      <c r="AD83" t="s">
        <v>43</v>
      </c>
      <c r="AE83" t="s">
        <v>48</v>
      </c>
      <c r="AG83">
        <v>1000</v>
      </c>
      <c r="AH83">
        <v>500</v>
      </c>
      <c r="AI83">
        <v>1000</v>
      </c>
      <c r="AJ83">
        <v>1000</v>
      </c>
      <c r="AK83" t="s">
        <v>43</v>
      </c>
      <c r="AL83" t="s">
        <v>49</v>
      </c>
      <c r="AM83" t="s">
        <v>50</v>
      </c>
      <c r="AN83">
        <v>500</v>
      </c>
      <c r="AO83">
        <v>20</v>
      </c>
      <c r="AP83">
        <v>-0.35445921028980898</v>
      </c>
      <c r="AQ83">
        <v>0.95679999999999998</v>
      </c>
      <c r="AR83">
        <v>-1.2058947219998799</v>
      </c>
    </row>
    <row r="84" spans="1:44" x14ac:dyDescent="0.2">
      <c r="A84" t="s">
        <v>205</v>
      </c>
      <c r="B84">
        <v>83</v>
      </c>
      <c r="D84" t="s">
        <v>206</v>
      </c>
      <c r="E84" t="s">
        <v>207</v>
      </c>
      <c r="H84" t="s">
        <v>40</v>
      </c>
      <c r="K84">
        <v>1</v>
      </c>
      <c r="L84" t="s">
        <v>41</v>
      </c>
      <c r="M84">
        <v>11.4</v>
      </c>
      <c r="N84" t="s">
        <v>42</v>
      </c>
      <c r="O84">
        <v>50</v>
      </c>
      <c r="Q84" t="s">
        <v>50</v>
      </c>
      <c r="R84" t="s">
        <v>43</v>
      </c>
      <c r="S84" t="s">
        <v>50</v>
      </c>
      <c r="T84" t="s">
        <v>43</v>
      </c>
      <c r="U84" t="s">
        <v>119</v>
      </c>
      <c r="V84" t="s">
        <v>119</v>
      </c>
      <c r="W84" t="s">
        <v>46</v>
      </c>
      <c r="X84">
        <v>50</v>
      </c>
      <c r="Y84">
        <v>2</v>
      </c>
      <c r="Z84">
        <v>320</v>
      </c>
      <c r="AA84">
        <v>640</v>
      </c>
      <c r="AB84" t="s">
        <v>356</v>
      </c>
      <c r="AC84">
        <v>1</v>
      </c>
      <c r="AD84" t="s">
        <v>43</v>
      </c>
      <c r="AE84" t="s">
        <v>48</v>
      </c>
      <c r="AG84">
        <v>1500</v>
      </c>
      <c r="AH84">
        <v>0</v>
      </c>
      <c r="AK84" t="s">
        <v>43</v>
      </c>
      <c r="AL84" t="s">
        <v>49</v>
      </c>
      <c r="AM84" t="s">
        <v>50</v>
      </c>
      <c r="AO84">
        <v>8</v>
      </c>
      <c r="AP84">
        <v>0.305470129472589</v>
      </c>
      <c r="AQ84">
        <v>0.95679999999999998</v>
      </c>
      <c r="AR84">
        <v>1.03923048454133</v>
      </c>
    </row>
    <row r="85" spans="1:44" x14ac:dyDescent="0.2">
      <c r="A85" t="s">
        <v>205</v>
      </c>
      <c r="B85">
        <v>84</v>
      </c>
      <c r="D85" t="s">
        <v>208</v>
      </c>
      <c r="E85" t="s">
        <v>209</v>
      </c>
      <c r="H85" t="s">
        <v>40</v>
      </c>
      <c r="K85">
        <v>1</v>
      </c>
      <c r="L85" t="s">
        <v>41</v>
      </c>
      <c r="M85">
        <v>11.4</v>
      </c>
      <c r="N85" t="s">
        <v>122</v>
      </c>
      <c r="O85">
        <v>50</v>
      </c>
      <c r="Q85" t="s">
        <v>50</v>
      </c>
      <c r="R85" t="s">
        <v>43</v>
      </c>
      <c r="S85" t="s">
        <v>50</v>
      </c>
      <c r="T85" t="s">
        <v>43</v>
      </c>
      <c r="U85" t="s">
        <v>119</v>
      </c>
      <c r="V85" t="s">
        <v>119</v>
      </c>
      <c r="W85" t="s">
        <v>46</v>
      </c>
      <c r="X85">
        <v>50</v>
      </c>
      <c r="Y85">
        <v>2</v>
      </c>
      <c r="Z85">
        <v>320</v>
      </c>
      <c r="AA85">
        <v>640</v>
      </c>
      <c r="AB85" t="s">
        <v>356</v>
      </c>
      <c r="AC85">
        <v>1</v>
      </c>
      <c r="AD85" t="s">
        <v>43</v>
      </c>
      <c r="AE85" t="s">
        <v>48</v>
      </c>
      <c r="AG85">
        <v>1500</v>
      </c>
      <c r="AH85">
        <v>0</v>
      </c>
      <c r="AK85" t="s">
        <v>43</v>
      </c>
      <c r="AL85" t="s">
        <v>49</v>
      </c>
      <c r="AM85" t="s">
        <v>50</v>
      </c>
      <c r="AO85">
        <v>8</v>
      </c>
      <c r="AP85">
        <v>1.1621738252086</v>
      </c>
      <c r="AQ85">
        <v>0.95679999999999998</v>
      </c>
      <c r="AR85">
        <v>3.95379564469384</v>
      </c>
    </row>
    <row r="86" spans="1:44" x14ac:dyDescent="0.2">
      <c r="A86" t="s">
        <v>210</v>
      </c>
      <c r="B86">
        <v>85</v>
      </c>
      <c r="D86" t="s">
        <v>211</v>
      </c>
      <c r="E86" t="s">
        <v>212</v>
      </c>
      <c r="H86" t="s">
        <v>40</v>
      </c>
      <c r="I86">
        <v>21</v>
      </c>
      <c r="J86">
        <v>0.26086956521739102</v>
      </c>
      <c r="K86">
        <v>1</v>
      </c>
      <c r="L86" t="s">
        <v>70</v>
      </c>
      <c r="M86">
        <v>1.8</v>
      </c>
      <c r="N86" t="s">
        <v>42</v>
      </c>
      <c r="O86">
        <v>55</v>
      </c>
      <c r="Q86" t="s">
        <v>43</v>
      </c>
      <c r="R86" t="s">
        <v>43</v>
      </c>
      <c r="S86" t="s">
        <v>43</v>
      </c>
      <c r="T86" t="s">
        <v>43</v>
      </c>
      <c r="U86" t="s">
        <v>44</v>
      </c>
      <c r="V86" t="s">
        <v>45</v>
      </c>
      <c r="X86">
        <v>64</v>
      </c>
      <c r="Y86">
        <v>4</v>
      </c>
      <c r="Z86">
        <v>176</v>
      </c>
      <c r="AA86">
        <v>704</v>
      </c>
      <c r="AB86" t="s">
        <v>356</v>
      </c>
      <c r="AC86">
        <v>1</v>
      </c>
      <c r="AD86" t="s">
        <v>43</v>
      </c>
      <c r="AE86" t="s">
        <v>48</v>
      </c>
      <c r="AF86" t="s">
        <v>54</v>
      </c>
      <c r="AG86">
        <v>1000</v>
      </c>
      <c r="AH86">
        <v>0</v>
      </c>
      <c r="AK86" t="s">
        <v>43</v>
      </c>
      <c r="AL86" t="s">
        <v>49</v>
      </c>
      <c r="AM86" t="s">
        <v>50</v>
      </c>
      <c r="AN86">
        <v>100</v>
      </c>
      <c r="AO86">
        <v>46</v>
      </c>
      <c r="AP86">
        <v>4.0649482906933203E-2</v>
      </c>
      <c r="AQ86">
        <v>0.94888178913737997</v>
      </c>
      <c r="AR86">
        <v>0.12713121717443801</v>
      </c>
    </row>
    <row r="87" spans="1:44" x14ac:dyDescent="0.2">
      <c r="A87" t="s">
        <v>210</v>
      </c>
      <c r="B87">
        <v>86</v>
      </c>
      <c r="D87" t="s">
        <v>211</v>
      </c>
      <c r="E87" t="s">
        <v>213</v>
      </c>
      <c r="H87" t="s">
        <v>40</v>
      </c>
      <c r="I87">
        <v>21</v>
      </c>
      <c r="J87">
        <v>0.26086956521739102</v>
      </c>
      <c r="K87">
        <v>1</v>
      </c>
      <c r="L87" t="s">
        <v>70</v>
      </c>
      <c r="M87">
        <v>5.6</v>
      </c>
      <c r="N87" t="s">
        <v>42</v>
      </c>
      <c r="O87">
        <v>55</v>
      </c>
      <c r="Q87" t="s">
        <v>43</v>
      </c>
      <c r="R87" t="s">
        <v>43</v>
      </c>
      <c r="S87" t="s">
        <v>43</v>
      </c>
      <c r="T87" t="s">
        <v>43</v>
      </c>
      <c r="U87" t="s">
        <v>44</v>
      </c>
      <c r="V87" t="s">
        <v>45</v>
      </c>
      <c r="X87">
        <v>64</v>
      </c>
      <c r="Y87">
        <v>4</v>
      </c>
      <c r="Z87">
        <v>176</v>
      </c>
      <c r="AA87">
        <v>704</v>
      </c>
      <c r="AB87" t="s">
        <v>356</v>
      </c>
      <c r="AC87">
        <v>1</v>
      </c>
      <c r="AD87" t="s">
        <v>43</v>
      </c>
      <c r="AE87" t="s">
        <v>48</v>
      </c>
      <c r="AF87" t="s">
        <v>54</v>
      </c>
      <c r="AG87">
        <v>1000</v>
      </c>
      <c r="AH87">
        <v>0</v>
      </c>
      <c r="AK87" t="s">
        <v>43</v>
      </c>
      <c r="AL87" t="s">
        <v>49</v>
      </c>
      <c r="AM87" t="s">
        <v>50</v>
      </c>
      <c r="AN87">
        <v>100</v>
      </c>
      <c r="AO87">
        <v>46</v>
      </c>
      <c r="AP87">
        <v>9.8294637436598092E-3</v>
      </c>
      <c r="AQ87">
        <v>0.94444444444444398</v>
      </c>
      <c r="AR87">
        <v>2.9488391230979401E-2</v>
      </c>
    </row>
    <row r="88" spans="1:44" x14ac:dyDescent="0.2">
      <c r="A88" t="s">
        <v>210</v>
      </c>
      <c r="B88">
        <v>87</v>
      </c>
      <c r="D88" t="s">
        <v>214</v>
      </c>
      <c r="E88" t="s">
        <v>215</v>
      </c>
      <c r="H88" t="s">
        <v>40</v>
      </c>
      <c r="I88">
        <v>21</v>
      </c>
      <c r="J88">
        <v>0.26086956521739102</v>
      </c>
      <c r="K88">
        <v>1</v>
      </c>
      <c r="L88" t="s">
        <v>70</v>
      </c>
      <c r="M88">
        <v>1.8</v>
      </c>
      <c r="N88" t="s">
        <v>42</v>
      </c>
      <c r="O88">
        <v>55</v>
      </c>
      <c r="Q88" t="s">
        <v>43</v>
      </c>
      <c r="R88" t="s">
        <v>43</v>
      </c>
      <c r="S88" t="s">
        <v>43</v>
      </c>
      <c r="T88" t="s">
        <v>43</v>
      </c>
      <c r="U88" t="s">
        <v>44</v>
      </c>
      <c r="V88" t="s">
        <v>45</v>
      </c>
      <c r="X88">
        <v>64</v>
      </c>
      <c r="Y88">
        <v>4</v>
      </c>
      <c r="Z88">
        <v>176</v>
      </c>
      <c r="AA88">
        <v>704</v>
      </c>
      <c r="AB88" t="s">
        <v>47</v>
      </c>
      <c r="AC88">
        <v>1</v>
      </c>
      <c r="AD88" t="s">
        <v>43</v>
      </c>
      <c r="AE88" t="s">
        <v>48</v>
      </c>
      <c r="AF88" t="s">
        <v>54</v>
      </c>
      <c r="AG88">
        <v>1000</v>
      </c>
      <c r="AH88">
        <v>0</v>
      </c>
      <c r="AK88" t="s">
        <v>43</v>
      </c>
      <c r="AL88" t="s">
        <v>49</v>
      </c>
      <c r="AM88" t="s">
        <v>50</v>
      </c>
      <c r="AN88">
        <v>100</v>
      </c>
      <c r="AO88">
        <v>46</v>
      </c>
      <c r="AP88">
        <v>-0.30532360929653302</v>
      </c>
      <c r="AQ88">
        <v>0.94061757719715</v>
      </c>
      <c r="AR88">
        <v>-0.88596473058261005</v>
      </c>
    </row>
    <row r="89" spans="1:44" x14ac:dyDescent="0.2">
      <c r="A89" t="s">
        <v>210</v>
      </c>
      <c r="B89">
        <v>88</v>
      </c>
      <c r="D89" t="s">
        <v>214</v>
      </c>
      <c r="E89" t="s">
        <v>216</v>
      </c>
      <c r="H89" t="s">
        <v>40</v>
      </c>
      <c r="I89">
        <v>21</v>
      </c>
      <c r="J89">
        <v>0.26086956521739102</v>
      </c>
      <c r="K89">
        <v>1</v>
      </c>
      <c r="L89" t="s">
        <v>70</v>
      </c>
      <c r="M89">
        <v>5.6</v>
      </c>
      <c r="N89" t="s">
        <v>42</v>
      </c>
      <c r="O89">
        <v>55</v>
      </c>
      <c r="Q89" t="s">
        <v>43</v>
      </c>
      <c r="R89" t="s">
        <v>43</v>
      </c>
      <c r="S89" t="s">
        <v>43</v>
      </c>
      <c r="T89" t="s">
        <v>43</v>
      </c>
      <c r="U89" t="s">
        <v>44</v>
      </c>
      <c r="V89" t="s">
        <v>45</v>
      </c>
      <c r="X89">
        <v>64</v>
      </c>
      <c r="Y89">
        <v>4</v>
      </c>
      <c r="Z89">
        <v>176</v>
      </c>
      <c r="AA89">
        <v>704</v>
      </c>
      <c r="AB89" t="s">
        <v>47</v>
      </c>
      <c r="AC89">
        <v>1</v>
      </c>
      <c r="AD89" t="s">
        <v>43</v>
      </c>
      <c r="AE89" t="s">
        <v>48</v>
      </c>
      <c r="AF89" t="s">
        <v>54</v>
      </c>
      <c r="AG89">
        <v>1000</v>
      </c>
      <c r="AH89">
        <v>0</v>
      </c>
      <c r="AK89" t="s">
        <v>43</v>
      </c>
      <c r="AL89" t="s">
        <v>49</v>
      </c>
      <c r="AM89" t="s">
        <v>50</v>
      </c>
      <c r="AN89">
        <v>100</v>
      </c>
      <c r="AO89">
        <v>46</v>
      </c>
      <c r="AP89">
        <v>-0.14721494761971601</v>
      </c>
      <c r="AQ89">
        <v>0.92</v>
      </c>
      <c r="AR89">
        <v>-0.36803736904928902</v>
      </c>
    </row>
    <row r="90" spans="1:44" x14ac:dyDescent="0.2">
      <c r="A90" t="s">
        <v>210</v>
      </c>
      <c r="B90">
        <v>89</v>
      </c>
      <c r="D90" t="s">
        <v>217</v>
      </c>
      <c r="E90" t="s">
        <v>218</v>
      </c>
      <c r="H90" t="s">
        <v>40</v>
      </c>
      <c r="I90">
        <v>21</v>
      </c>
      <c r="J90">
        <v>0.26136363636363602</v>
      </c>
      <c r="K90">
        <v>1</v>
      </c>
      <c r="L90" t="s">
        <v>70</v>
      </c>
      <c r="M90">
        <v>1.8</v>
      </c>
      <c r="N90" t="s">
        <v>42</v>
      </c>
      <c r="O90">
        <v>55</v>
      </c>
      <c r="Q90" t="s">
        <v>43</v>
      </c>
      <c r="R90" t="s">
        <v>43</v>
      </c>
      <c r="S90" t="s">
        <v>43</v>
      </c>
      <c r="T90" t="s">
        <v>43</v>
      </c>
      <c r="U90" t="s">
        <v>44</v>
      </c>
      <c r="V90" t="s">
        <v>45</v>
      </c>
      <c r="X90">
        <v>64</v>
      </c>
      <c r="Y90">
        <v>4</v>
      </c>
      <c r="Z90">
        <v>176</v>
      </c>
      <c r="AA90">
        <v>704</v>
      </c>
      <c r="AB90" t="s">
        <v>356</v>
      </c>
      <c r="AC90">
        <v>1</v>
      </c>
      <c r="AD90" t="s">
        <v>43</v>
      </c>
      <c r="AE90" t="s">
        <v>48</v>
      </c>
      <c r="AF90" t="s">
        <v>61</v>
      </c>
      <c r="AG90">
        <v>1000</v>
      </c>
      <c r="AH90">
        <v>0</v>
      </c>
      <c r="AK90" t="s">
        <v>43</v>
      </c>
      <c r="AL90" t="s">
        <v>49</v>
      </c>
      <c r="AM90" t="s">
        <v>50</v>
      </c>
      <c r="AN90">
        <v>100</v>
      </c>
      <c r="AO90">
        <v>44</v>
      </c>
      <c r="AP90">
        <v>0.23434814603318399</v>
      </c>
      <c r="AQ90">
        <v>0.95918367346938804</v>
      </c>
      <c r="AR90">
        <v>0.82021851111614397</v>
      </c>
    </row>
    <row r="91" spans="1:44" x14ac:dyDescent="0.2">
      <c r="A91" t="s">
        <v>210</v>
      </c>
      <c r="B91">
        <v>90</v>
      </c>
      <c r="D91" t="s">
        <v>217</v>
      </c>
      <c r="E91" t="s">
        <v>219</v>
      </c>
      <c r="H91" t="s">
        <v>40</v>
      </c>
      <c r="I91">
        <v>21</v>
      </c>
      <c r="J91">
        <v>0.26136363636363602</v>
      </c>
      <c r="K91">
        <v>1</v>
      </c>
      <c r="L91" t="s">
        <v>70</v>
      </c>
      <c r="M91">
        <v>5.6</v>
      </c>
      <c r="N91" t="s">
        <v>42</v>
      </c>
      <c r="O91">
        <v>55</v>
      </c>
      <c r="Q91" t="s">
        <v>43</v>
      </c>
      <c r="R91" t="s">
        <v>43</v>
      </c>
      <c r="S91" t="s">
        <v>43</v>
      </c>
      <c r="T91" t="s">
        <v>43</v>
      </c>
      <c r="U91" t="s">
        <v>44</v>
      </c>
      <c r="V91" t="s">
        <v>45</v>
      </c>
      <c r="X91">
        <v>64</v>
      </c>
      <c r="Y91">
        <v>4</v>
      </c>
      <c r="Z91">
        <v>176</v>
      </c>
      <c r="AA91">
        <v>704</v>
      </c>
      <c r="AB91" t="s">
        <v>356</v>
      </c>
      <c r="AC91">
        <v>1</v>
      </c>
      <c r="AD91" t="s">
        <v>43</v>
      </c>
      <c r="AE91" t="s">
        <v>48</v>
      </c>
      <c r="AF91" t="s">
        <v>61</v>
      </c>
      <c r="AG91">
        <v>1000</v>
      </c>
      <c r="AH91">
        <v>0</v>
      </c>
      <c r="AK91" t="s">
        <v>43</v>
      </c>
      <c r="AL91" t="s">
        <v>49</v>
      </c>
      <c r="AM91" t="s">
        <v>50</v>
      </c>
      <c r="AN91">
        <v>100</v>
      </c>
      <c r="AO91">
        <v>44</v>
      </c>
      <c r="AP91">
        <v>0.236901770739671</v>
      </c>
      <c r="AQ91">
        <v>0.95136186770428</v>
      </c>
      <c r="AR91">
        <v>0.75956485931762496</v>
      </c>
    </row>
    <row r="92" spans="1:44" x14ac:dyDescent="0.2">
      <c r="A92" t="s">
        <v>210</v>
      </c>
      <c r="B92">
        <v>91</v>
      </c>
      <c r="D92" t="s">
        <v>220</v>
      </c>
      <c r="E92" t="s">
        <v>221</v>
      </c>
      <c r="H92" t="s">
        <v>40</v>
      </c>
      <c r="I92">
        <v>21</v>
      </c>
      <c r="J92">
        <v>0.26136363636363602</v>
      </c>
      <c r="K92">
        <v>1</v>
      </c>
      <c r="L92" t="s">
        <v>70</v>
      </c>
      <c r="M92">
        <v>1.8</v>
      </c>
      <c r="N92" t="s">
        <v>42</v>
      </c>
      <c r="O92">
        <v>55</v>
      </c>
      <c r="Q92" t="s">
        <v>43</v>
      </c>
      <c r="R92" t="s">
        <v>43</v>
      </c>
      <c r="S92" t="s">
        <v>43</v>
      </c>
      <c r="T92" t="s">
        <v>43</v>
      </c>
      <c r="U92" t="s">
        <v>44</v>
      </c>
      <c r="V92" t="s">
        <v>45</v>
      </c>
      <c r="X92">
        <v>64</v>
      </c>
      <c r="Y92">
        <v>4</v>
      </c>
      <c r="Z92">
        <v>176</v>
      </c>
      <c r="AA92">
        <v>704</v>
      </c>
      <c r="AB92" t="s">
        <v>47</v>
      </c>
      <c r="AC92">
        <v>1</v>
      </c>
      <c r="AD92" t="s">
        <v>43</v>
      </c>
      <c r="AE92" t="s">
        <v>48</v>
      </c>
      <c r="AF92" t="s">
        <v>61</v>
      </c>
      <c r="AG92">
        <v>1000</v>
      </c>
      <c r="AH92">
        <v>0</v>
      </c>
      <c r="AK92" t="s">
        <v>43</v>
      </c>
      <c r="AL92" t="s">
        <v>49</v>
      </c>
      <c r="AM92" t="s">
        <v>50</v>
      </c>
      <c r="AN92">
        <v>100</v>
      </c>
      <c r="AO92">
        <v>44</v>
      </c>
      <c r="AP92">
        <v>0.197424575387569</v>
      </c>
      <c r="AQ92">
        <v>0.92647058823529405</v>
      </c>
      <c r="AR92">
        <v>0.51482030668510004</v>
      </c>
    </row>
    <row r="93" spans="1:44" x14ac:dyDescent="0.2">
      <c r="A93" t="s">
        <v>210</v>
      </c>
      <c r="B93">
        <v>92</v>
      </c>
      <c r="D93" t="s">
        <v>220</v>
      </c>
      <c r="E93" t="s">
        <v>222</v>
      </c>
      <c r="H93" t="s">
        <v>40</v>
      </c>
      <c r="I93">
        <v>21</v>
      </c>
      <c r="J93">
        <v>0.26136363636363602</v>
      </c>
      <c r="K93">
        <v>1</v>
      </c>
      <c r="L93" t="s">
        <v>70</v>
      </c>
      <c r="M93">
        <v>5.6</v>
      </c>
      <c r="N93" t="s">
        <v>42</v>
      </c>
      <c r="O93">
        <v>55</v>
      </c>
      <c r="Q93" t="s">
        <v>43</v>
      </c>
      <c r="R93" t="s">
        <v>43</v>
      </c>
      <c r="S93" t="s">
        <v>43</v>
      </c>
      <c r="T93" t="s">
        <v>43</v>
      </c>
      <c r="U93" t="s">
        <v>44</v>
      </c>
      <c r="V93" t="s">
        <v>45</v>
      </c>
      <c r="X93">
        <v>64</v>
      </c>
      <c r="Y93">
        <v>4</v>
      </c>
      <c r="Z93">
        <v>176</v>
      </c>
      <c r="AA93">
        <v>704</v>
      </c>
      <c r="AB93" t="s">
        <v>47</v>
      </c>
      <c r="AC93">
        <v>1</v>
      </c>
      <c r="AD93" t="s">
        <v>43</v>
      </c>
      <c r="AE93" t="s">
        <v>48</v>
      </c>
      <c r="AF93" t="s">
        <v>61</v>
      </c>
      <c r="AG93">
        <v>1000</v>
      </c>
      <c r="AH93">
        <v>0</v>
      </c>
      <c r="AK93" t="s">
        <v>43</v>
      </c>
      <c r="AL93" t="s">
        <v>49</v>
      </c>
      <c r="AM93" t="s">
        <v>50</v>
      </c>
      <c r="AN93">
        <v>100</v>
      </c>
      <c r="AO93">
        <v>44</v>
      </c>
      <c r="AP93">
        <v>8.3126137005292103E-2</v>
      </c>
      <c r="AQ93">
        <v>0.96153846153846201</v>
      </c>
      <c r="AR93">
        <v>0.29971554930382499</v>
      </c>
    </row>
    <row r="94" spans="1:44" x14ac:dyDescent="0.2">
      <c r="A94" t="s">
        <v>210</v>
      </c>
      <c r="B94">
        <v>93</v>
      </c>
      <c r="D94" t="s">
        <v>211</v>
      </c>
      <c r="E94" t="s">
        <v>223</v>
      </c>
      <c r="H94" t="s">
        <v>40</v>
      </c>
      <c r="I94">
        <v>21</v>
      </c>
      <c r="J94">
        <v>0.26086956521739102</v>
      </c>
      <c r="K94">
        <v>1</v>
      </c>
      <c r="L94" t="s">
        <v>41</v>
      </c>
      <c r="M94">
        <v>1.8</v>
      </c>
      <c r="N94" t="s">
        <v>42</v>
      </c>
      <c r="O94">
        <v>55</v>
      </c>
      <c r="Q94" t="s">
        <v>43</v>
      </c>
      <c r="R94" t="s">
        <v>43</v>
      </c>
      <c r="S94" t="s">
        <v>43</v>
      </c>
      <c r="T94" t="s">
        <v>43</v>
      </c>
      <c r="U94" t="s">
        <v>44</v>
      </c>
      <c r="V94" t="s">
        <v>45</v>
      </c>
      <c r="X94">
        <v>64</v>
      </c>
      <c r="Y94">
        <v>4</v>
      </c>
      <c r="Z94">
        <v>176</v>
      </c>
      <c r="AA94">
        <v>704</v>
      </c>
      <c r="AB94" t="s">
        <v>356</v>
      </c>
      <c r="AC94">
        <v>1</v>
      </c>
      <c r="AD94" t="s">
        <v>43</v>
      </c>
      <c r="AE94" t="s">
        <v>48</v>
      </c>
      <c r="AF94" t="s">
        <v>54</v>
      </c>
      <c r="AG94">
        <v>1000</v>
      </c>
      <c r="AH94">
        <v>0</v>
      </c>
      <c r="AK94" t="s">
        <v>43</v>
      </c>
      <c r="AL94" t="s">
        <v>49</v>
      </c>
      <c r="AM94" t="s">
        <v>50</v>
      </c>
      <c r="AN94">
        <v>100</v>
      </c>
      <c r="AO94">
        <v>46</v>
      </c>
      <c r="AP94">
        <v>0.141431178187958</v>
      </c>
      <c r="AQ94">
        <v>0.94888178913737997</v>
      </c>
      <c r="AR94">
        <v>0.44232586846469102</v>
      </c>
    </row>
    <row r="95" spans="1:44" x14ac:dyDescent="0.2">
      <c r="A95" t="s">
        <v>210</v>
      </c>
      <c r="B95">
        <v>94</v>
      </c>
      <c r="D95" t="s">
        <v>211</v>
      </c>
      <c r="E95" t="s">
        <v>224</v>
      </c>
      <c r="H95" t="s">
        <v>40</v>
      </c>
      <c r="I95">
        <v>21</v>
      </c>
      <c r="J95">
        <v>0.26086956521739102</v>
      </c>
      <c r="K95">
        <v>1</v>
      </c>
      <c r="L95" t="s">
        <v>41</v>
      </c>
      <c r="M95">
        <v>5.6</v>
      </c>
      <c r="N95" t="s">
        <v>42</v>
      </c>
      <c r="O95">
        <v>55</v>
      </c>
      <c r="Q95" t="s">
        <v>43</v>
      </c>
      <c r="R95" t="s">
        <v>43</v>
      </c>
      <c r="S95" t="s">
        <v>43</v>
      </c>
      <c r="T95" t="s">
        <v>43</v>
      </c>
      <c r="U95" t="s">
        <v>44</v>
      </c>
      <c r="V95" t="s">
        <v>45</v>
      </c>
      <c r="X95">
        <v>64</v>
      </c>
      <c r="Y95">
        <v>4</v>
      </c>
      <c r="Z95">
        <v>176</v>
      </c>
      <c r="AA95">
        <v>704</v>
      </c>
      <c r="AB95" t="s">
        <v>356</v>
      </c>
      <c r="AC95">
        <v>1</v>
      </c>
      <c r="AD95" t="s">
        <v>43</v>
      </c>
      <c r="AE95" t="s">
        <v>48</v>
      </c>
      <c r="AF95" t="s">
        <v>54</v>
      </c>
      <c r="AG95">
        <v>1000</v>
      </c>
      <c r="AH95">
        <v>0</v>
      </c>
      <c r="AK95" t="s">
        <v>43</v>
      </c>
      <c r="AL95" t="s">
        <v>49</v>
      </c>
      <c r="AM95" t="s">
        <v>50</v>
      </c>
      <c r="AN95">
        <v>100</v>
      </c>
      <c r="AO95">
        <v>46</v>
      </c>
      <c r="AP95">
        <v>3.9317854974639202E-2</v>
      </c>
      <c r="AQ95">
        <v>0.95918367346938804</v>
      </c>
      <c r="AR95">
        <v>0.13761249241123699</v>
      </c>
    </row>
    <row r="96" spans="1:44" x14ac:dyDescent="0.2">
      <c r="A96" t="s">
        <v>210</v>
      </c>
      <c r="B96">
        <v>95</v>
      </c>
      <c r="D96" t="s">
        <v>214</v>
      </c>
      <c r="E96" t="s">
        <v>225</v>
      </c>
      <c r="H96" t="s">
        <v>40</v>
      </c>
      <c r="I96">
        <v>21</v>
      </c>
      <c r="J96">
        <v>0.26086956521739102</v>
      </c>
      <c r="K96">
        <v>1</v>
      </c>
      <c r="L96" t="s">
        <v>41</v>
      </c>
      <c r="M96">
        <v>1.8</v>
      </c>
      <c r="N96" t="s">
        <v>42</v>
      </c>
      <c r="O96">
        <v>55</v>
      </c>
      <c r="Q96" t="s">
        <v>43</v>
      </c>
      <c r="R96" t="s">
        <v>43</v>
      </c>
      <c r="S96" t="s">
        <v>43</v>
      </c>
      <c r="T96" t="s">
        <v>43</v>
      </c>
      <c r="U96" t="s">
        <v>44</v>
      </c>
      <c r="V96" t="s">
        <v>45</v>
      </c>
      <c r="X96">
        <v>64</v>
      </c>
      <c r="Y96">
        <v>4</v>
      </c>
      <c r="Z96">
        <v>176</v>
      </c>
      <c r="AA96">
        <v>704</v>
      </c>
      <c r="AB96" t="s">
        <v>47</v>
      </c>
      <c r="AC96">
        <v>1</v>
      </c>
      <c r="AD96" t="s">
        <v>43</v>
      </c>
      <c r="AE96" t="s">
        <v>48</v>
      </c>
      <c r="AF96" t="s">
        <v>54</v>
      </c>
      <c r="AG96">
        <v>1000</v>
      </c>
      <c r="AH96">
        <v>0</v>
      </c>
      <c r="AK96" t="s">
        <v>43</v>
      </c>
      <c r="AL96" t="s">
        <v>49</v>
      </c>
      <c r="AM96" t="s">
        <v>50</v>
      </c>
      <c r="AN96">
        <v>100</v>
      </c>
      <c r="AO96">
        <v>46</v>
      </c>
      <c r="AP96">
        <v>-0.15797352445167501</v>
      </c>
      <c r="AQ96">
        <v>0.95616438356164402</v>
      </c>
      <c r="AR96">
        <v>-0.53352619916061494</v>
      </c>
    </row>
    <row r="97" spans="1:44" x14ac:dyDescent="0.2">
      <c r="A97" t="s">
        <v>210</v>
      </c>
      <c r="B97">
        <v>96</v>
      </c>
      <c r="D97" t="s">
        <v>214</v>
      </c>
      <c r="E97" t="s">
        <v>226</v>
      </c>
      <c r="H97" t="s">
        <v>40</v>
      </c>
      <c r="I97">
        <v>21</v>
      </c>
      <c r="J97">
        <v>0.26086956521739102</v>
      </c>
      <c r="K97">
        <v>1</v>
      </c>
      <c r="L97" t="s">
        <v>41</v>
      </c>
      <c r="M97">
        <v>5.6</v>
      </c>
      <c r="N97" t="s">
        <v>42</v>
      </c>
      <c r="O97">
        <v>55</v>
      </c>
      <c r="Q97" t="s">
        <v>43</v>
      </c>
      <c r="R97" t="s">
        <v>43</v>
      </c>
      <c r="S97" t="s">
        <v>43</v>
      </c>
      <c r="T97" t="s">
        <v>43</v>
      </c>
      <c r="U97" t="s">
        <v>44</v>
      </c>
      <c r="V97" t="s">
        <v>45</v>
      </c>
      <c r="X97">
        <v>64</v>
      </c>
      <c r="Y97">
        <v>4</v>
      </c>
      <c r="Z97">
        <v>176</v>
      </c>
      <c r="AA97">
        <v>704</v>
      </c>
      <c r="AB97" t="s">
        <v>47</v>
      </c>
      <c r="AC97">
        <v>1</v>
      </c>
      <c r="AD97" t="s">
        <v>43</v>
      </c>
      <c r="AE97" t="s">
        <v>48</v>
      </c>
      <c r="AF97" t="s">
        <v>54</v>
      </c>
      <c r="AG97">
        <v>1000</v>
      </c>
      <c r="AH97">
        <v>0</v>
      </c>
      <c r="AK97" t="s">
        <v>43</v>
      </c>
      <c r="AL97" t="s">
        <v>49</v>
      </c>
      <c r="AM97" t="s">
        <v>50</v>
      </c>
      <c r="AN97">
        <v>100</v>
      </c>
      <c r="AO97">
        <v>46</v>
      </c>
      <c r="AP97">
        <v>-7.3577412258477998E-2</v>
      </c>
      <c r="AQ97">
        <v>0.95918367346938804</v>
      </c>
      <c r="AR97">
        <v>-0.25752094290467298</v>
      </c>
    </row>
    <row r="98" spans="1:44" x14ac:dyDescent="0.2">
      <c r="A98" t="s">
        <v>210</v>
      </c>
      <c r="B98">
        <v>97</v>
      </c>
      <c r="D98" t="s">
        <v>217</v>
      </c>
      <c r="E98" t="s">
        <v>227</v>
      </c>
      <c r="H98" t="s">
        <v>40</v>
      </c>
      <c r="I98">
        <v>21</v>
      </c>
      <c r="J98">
        <v>0.26136363636363602</v>
      </c>
      <c r="K98">
        <v>1</v>
      </c>
      <c r="L98" t="s">
        <v>41</v>
      </c>
      <c r="M98">
        <v>1.8</v>
      </c>
      <c r="N98" t="s">
        <v>42</v>
      </c>
      <c r="O98">
        <v>55</v>
      </c>
      <c r="Q98" t="s">
        <v>43</v>
      </c>
      <c r="R98" t="s">
        <v>43</v>
      </c>
      <c r="S98" t="s">
        <v>43</v>
      </c>
      <c r="T98" t="s">
        <v>43</v>
      </c>
      <c r="U98" t="s">
        <v>44</v>
      </c>
      <c r="V98" t="s">
        <v>45</v>
      </c>
      <c r="X98">
        <v>64</v>
      </c>
      <c r="Y98">
        <v>4</v>
      </c>
      <c r="Z98">
        <v>176</v>
      </c>
      <c r="AA98">
        <v>704</v>
      </c>
      <c r="AB98" t="s">
        <v>356</v>
      </c>
      <c r="AC98">
        <v>1</v>
      </c>
      <c r="AD98" t="s">
        <v>43</v>
      </c>
      <c r="AE98" t="s">
        <v>48</v>
      </c>
      <c r="AF98" t="s">
        <v>61</v>
      </c>
      <c r="AG98">
        <v>1000</v>
      </c>
      <c r="AH98">
        <v>0</v>
      </c>
      <c r="AK98" t="s">
        <v>43</v>
      </c>
      <c r="AL98" t="s">
        <v>49</v>
      </c>
      <c r="AM98" t="s">
        <v>50</v>
      </c>
      <c r="AN98">
        <v>100</v>
      </c>
      <c r="AO98">
        <v>44</v>
      </c>
      <c r="AP98">
        <v>0.37357532646382002</v>
      </c>
      <c r="AQ98">
        <v>0.94061757719715</v>
      </c>
      <c r="AR98">
        <v>1.08401235078216</v>
      </c>
    </row>
    <row r="99" spans="1:44" x14ac:dyDescent="0.2">
      <c r="A99" t="s">
        <v>210</v>
      </c>
      <c r="B99">
        <v>98</v>
      </c>
      <c r="D99" t="s">
        <v>217</v>
      </c>
      <c r="E99" t="s">
        <v>228</v>
      </c>
      <c r="H99" t="s">
        <v>40</v>
      </c>
      <c r="I99">
        <v>21</v>
      </c>
      <c r="J99">
        <v>0.26136363636363602</v>
      </c>
      <c r="K99">
        <v>1</v>
      </c>
      <c r="L99" t="s">
        <v>41</v>
      </c>
      <c r="M99">
        <v>5.6</v>
      </c>
      <c r="N99" t="s">
        <v>42</v>
      </c>
      <c r="O99">
        <v>55</v>
      </c>
      <c r="Q99" t="s">
        <v>43</v>
      </c>
      <c r="R99" t="s">
        <v>43</v>
      </c>
      <c r="S99" t="s">
        <v>43</v>
      </c>
      <c r="T99" t="s">
        <v>43</v>
      </c>
      <c r="U99" t="s">
        <v>44</v>
      </c>
      <c r="V99" t="s">
        <v>45</v>
      </c>
      <c r="X99">
        <v>64</v>
      </c>
      <c r="Y99">
        <v>4</v>
      </c>
      <c r="Z99">
        <v>176</v>
      </c>
      <c r="AA99">
        <v>704</v>
      </c>
      <c r="AB99" t="s">
        <v>356</v>
      </c>
      <c r="AC99">
        <v>1</v>
      </c>
      <c r="AD99" t="s">
        <v>43</v>
      </c>
      <c r="AE99" t="s">
        <v>48</v>
      </c>
      <c r="AF99" t="s">
        <v>61</v>
      </c>
      <c r="AG99">
        <v>1000</v>
      </c>
      <c r="AH99">
        <v>0</v>
      </c>
      <c r="AK99" t="s">
        <v>43</v>
      </c>
      <c r="AL99" t="s">
        <v>49</v>
      </c>
      <c r="AM99" t="s">
        <v>50</v>
      </c>
      <c r="AN99">
        <v>100</v>
      </c>
      <c r="AO99">
        <v>44</v>
      </c>
      <c r="AP99">
        <v>0.26920655765871698</v>
      </c>
      <c r="AQ99">
        <v>0.91379310344827602</v>
      </c>
      <c r="AR99">
        <v>0.64833524505571005</v>
      </c>
    </row>
    <row r="100" spans="1:44" x14ac:dyDescent="0.2">
      <c r="A100" t="s">
        <v>210</v>
      </c>
      <c r="B100">
        <v>99</v>
      </c>
      <c r="D100" t="s">
        <v>220</v>
      </c>
      <c r="E100" t="s">
        <v>229</v>
      </c>
      <c r="H100" t="s">
        <v>40</v>
      </c>
      <c r="I100">
        <v>21</v>
      </c>
      <c r="J100">
        <v>0.26136363636363602</v>
      </c>
      <c r="K100">
        <v>1</v>
      </c>
      <c r="L100" t="s">
        <v>41</v>
      </c>
      <c r="M100">
        <v>1.8</v>
      </c>
      <c r="N100" t="s">
        <v>42</v>
      </c>
      <c r="O100">
        <v>55</v>
      </c>
      <c r="Q100" t="s">
        <v>43</v>
      </c>
      <c r="R100" t="s">
        <v>43</v>
      </c>
      <c r="S100" t="s">
        <v>43</v>
      </c>
      <c r="T100" t="s">
        <v>43</v>
      </c>
      <c r="U100" t="s">
        <v>44</v>
      </c>
      <c r="V100" t="s">
        <v>45</v>
      </c>
      <c r="X100">
        <v>64</v>
      </c>
      <c r="Y100">
        <v>4</v>
      </c>
      <c r="Z100">
        <v>176</v>
      </c>
      <c r="AA100">
        <v>704</v>
      </c>
      <c r="AB100" t="s">
        <v>47</v>
      </c>
      <c r="AC100">
        <v>1</v>
      </c>
      <c r="AD100" t="s">
        <v>43</v>
      </c>
      <c r="AE100" t="s">
        <v>48</v>
      </c>
      <c r="AF100" t="s">
        <v>61</v>
      </c>
      <c r="AG100">
        <v>1000</v>
      </c>
      <c r="AH100">
        <v>0</v>
      </c>
      <c r="AK100" t="s">
        <v>43</v>
      </c>
      <c r="AL100" t="s">
        <v>49</v>
      </c>
      <c r="AM100" t="s">
        <v>50</v>
      </c>
      <c r="AN100">
        <v>100</v>
      </c>
      <c r="AO100">
        <v>44</v>
      </c>
      <c r="AP100">
        <v>0.218206109638892</v>
      </c>
      <c r="AQ100">
        <v>0.96199524940617598</v>
      </c>
      <c r="AR100">
        <v>0.79146727951662899</v>
      </c>
    </row>
    <row r="101" spans="1:44" x14ac:dyDescent="0.2">
      <c r="A101" t="s">
        <v>210</v>
      </c>
      <c r="B101">
        <v>100</v>
      </c>
      <c r="D101" t="s">
        <v>220</v>
      </c>
      <c r="E101" t="s">
        <v>230</v>
      </c>
      <c r="H101" t="s">
        <v>40</v>
      </c>
      <c r="I101">
        <v>21</v>
      </c>
      <c r="J101">
        <v>0.26136363636363602</v>
      </c>
      <c r="K101">
        <v>1</v>
      </c>
      <c r="L101" t="s">
        <v>41</v>
      </c>
      <c r="M101">
        <v>5.6</v>
      </c>
      <c r="N101" t="s">
        <v>42</v>
      </c>
      <c r="O101">
        <v>55</v>
      </c>
      <c r="Q101" t="s">
        <v>43</v>
      </c>
      <c r="R101" t="s">
        <v>43</v>
      </c>
      <c r="S101" t="s">
        <v>43</v>
      </c>
      <c r="T101" t="s">
        <v>43</v>
      </c>
      <c r="U101" t="s">
        <v>44</v>
      </c>
      <c r="V101" t="s">
        <v>45</v>
      </c>
      <c r="X101">
        <v>64</v>
      </c>
      <c r="Y101">
        <v>4</v>
      </c>
      <c r="Z101">
        <v>176</v>
      </c>
      <c r="AA101">
        <v>704</v>
      </c>
      <c r="AB101" t="s">
        <v>47</v>
      </c>
      <c r="AC101">
        <v>1</v>
      </c>
      <c r="AD101" t="s">
        <v>43</v>
      </c>
      <c r="AE101" t="s">
        <v>48</v>
      </c>
      <c r="AF101" t="s">
        <v>61</v>
      </c>
      <c r="AG101">
        <v>1000</v>
      </c>
      <c r="AH101">
        <v>0</v>
      </c>
      <c r="AK101" t="s">
        <v>43</v>
      </c>
      <c r="AL101" t="s">
        <v>49</v>
      </c>
      <c r="AM101" t="s">
        <v>50</v>
      </c>
      <c r="AN101">
        <v>100</v>
      </c>
      <c r="AO101">
        <v>44</v>
      </c>
      <c r="AP101">
        <v>0.33802858293939098</v>
      </c>
      <c r="AQ101">
        <v>0.96199524940617598</v>
      </c>
      <c r="AR101">
        <v>1.2260819066003701</v>
      </c>
    </row>
    <row r="102" spans="1:44" x14ac:dyDescent="0.2">
      <c r="A102" t="s">
        <v>231</v>
      </c>
      <c r="B102">
        <v>101</v>
      </c>
      <c r="D102" t="s">
        <v>232</v>
      </c>
      <c r="E102" t="s">
        <v>233</v>
      </c>
      <c r="H102" t="s">
        <v>40</v>
      </c>
      <c r="I102">
        <v>21.8</v>
      </c>
      <c r="J102">
        <v>0.16600000000000001</v>
      </c>
      <c r="K102">
        <v>1</v>
      </c>
      <c r="L102" t="s">
        <v>41</v>
      </c>
      <c r="M102">
        <v>0</v>
      </c>
      <c r="N102" t="s">
        <v>42</v>
      </c>
      <c r="O102">
        <v>48</v>
      </c>
      <c r="Q102" t="s">
        <v>50</v>
      </c>
      <c r="R102" t="s">
        <v>50</v>
      </c>
      <c r="S102" t="s">
        <v>43</v>
      </c>
      <c r="T102" t="s">
        <v>43</v>
      </c>
      <c r="U102" t="s">
        <v>91</v>
      </c>
      <c r="V102" t="s">
        <v>45</v>
      </c>
      <c r="W102" t="s">
        <v>46</v>
      </c>
      <c r="X102">
        <v>12</v>
      </c>
      <c r="Y102">
        <v>1</v>
      </c>
      <c r="Z102">
        <v>352</v>
      </c>
      <c r="AA102">
        <v>352</v>
      </c>
      <c r="AB102" t="s">
        <v>47</v>
      </c>
      <c r="AC102">
        <v>44</v>
      </c>
      <c r="AD102" t="s">
        <v>43</v>
      </c>
      <c r="AE102" t="s">
        <v>48</v>
      </c>
      <c r="AG102">
        <v>500</v>
      </c>
      <c r="AH102">
        <v>500</v>
      </c>
      <c r="AI102">
        <v>1500</v>
      </c>
      <c r="AJ102">
        <v>1500</v>
      </c>
      <c r="AK102" t="s">
        <v>43</v>
      </c>
      <c r="AL102" t="s">
        <v>49</v>
      </c>
      <c r="AM102" t="s">
        <v>50</v>
      </c>
      <c r="AN102">
        <v>2000</v>
      </c>
      <c r="AO102">
        <v>23</v>
      </c>
      <c r="AP102">
        <v>0.13538120092988301</v>
      </c>
      <c r="AQ102">
        <v>0.95679999999999998</v>
      </c>
      <c r="AR102">
        <v>0.46057619867141297</v>
      </c>
    </row>
    <row r="103" spans="1:44" x14ac:dyDescent="0.2">
      <c r="A103" t="s">
        <v>231</v>
      </c>
      <c r="B103">
        <v>102</v>
      </c>
      <c r="D103" t="s">
        <v>234</v>
      </c>
      <c r="E103" t="s">
        <v>235</v>
      </c>
      <c r="H103" t="s">
        <v>40</v>
      </c>
      <c r="I103">
        <v>21.12</v>
      </c>
      <c r="J103">
        <v>0.28000000000000003</v>
      </c>
      <c r="K103">
        <v>1</v>
      </c>
      <c r="L103" t="s">
        <v>41</v>
      </c>
      <c r="M103">
        <v>0</v>
      </c>
      <c r="N103" t="s">
        <v>42</v>
      </c>
      <c r="O103">
        <v>48</v>
      </c>
      <c r="Q103" t="s">
        <v>50</v>
      </c>
      <c r="R103" t="s">
        <v>50</v>
      </c>
      <c r="S103" t="s">
        <v>43</v>
      </c>
      <c r="T103" t="s">
        <v>43</v>
      </c>
      <c r="U103" t="s">
        <v>56</v>
      </c>
      <c r="V103" t="s">
        <v>45</v>
      </c>
      <c r="W103" t="s">
        <v>46</v>
      </c>
      <c r="X103">
        <v>12</v>
      </c>
      <c r="Y103">
        <v>1</v>
      </c>
      <c r="Z103">
        <v>352</v>
      </c>
      <c r="AA103">
        <v>352</v>
      </c>
      <c r="AB103" t="s">
        <v>47</v>
      </c>
      <c r="AC103">
        <v>44</v>
      </c>
      <c r="AD103" t="s">
        <v>43</v>
      </c>
      <c r="AE103" t="s">
        <v>48</v>
      </c>
      <c r="AG103">
        <v>500</v>
      </c>
      <c r="AH103">
        <v>500</v>
      </c>
      <c r="AI103">
        <v>1500</v>
      </c>
      <c r="AJ103">
        <v>1500</v>
      </c>
      <c r="AK103" t="s">
        <v>43</v>
      </c>
      <c r="AL103" t="s">
        <v>49</v>
      </c>
      <c r="AM103" t="s">
        <v>50</v>
      </c>
      <c r="AN103">
        <v>2000</v>
      </c>
      <c r="AO103">
        <v>24</v>
      </c>
      <c r="AP103">
        <v>-9.8663062997253498E-2</v>
      </c>
      <c r="AQ103">
        <v>0.95679999999999998</v>
      </c>
      <c r="AR103">
        <v>-0.33565855667130901</v>
      </c>
    </row>
    <row r="104" spans="1:44" x14ac:dyDescent="0.2">
      <c r="A104" t="s">
        <v>231</v>
      </c>
      <c r="B104">
        <v>103</v>
      </c>
      <c r="D104" t="s">
        <v>236</v>
      </c>
      <c r="E104" t="s">
        <v>237</v>
      </c>
      <c r="H104" t="s">
        <v>40</v>
      </c>
      <c r="I104">
        <v>21.54</v>
      </c>
      <c r="J104">
        <v>0.20833333333333301</v>
      </c>
      <c r="K104">
        <v>1</v>
      </c>
      <c r="L104" t="s">
        <v>41</v>
      </c>
      <c r="M104">
        <v>0</v>
      </c>
      <c r="N104" t="s">
        <v>42</v>
      </c>
      <c r="O104">
        <v>48</v>
      </c>
      <c r="Q104" t="s">
        <v>50</v>
      </c>
      <c r="R104" t="s">
        <v>50</v>
      </c>
      <c r="S104" t="s">
        <v>43</v>
      </c>
      <c r="T104" t="s">
        <v>43</v>
      </c>
      <c r="U104" t="s">
        <v>44</v>
      </c>
      <c r="V104" t="s">
        <v>45</v>
      </c>
      <c r="W104" t="s">
        <v>46</v>
      </c>
      <c r="X104">
        <v>12</v>
      </c>
      <c r="Y104">
        <v>1</v>
      </c>
      <c r="Z104">
        <v>240</v>
      </c>
      <c r="AA104">
        <v>240</v>
      </c>
      <c r="AB104" t="s">
        <v>47</v>
      </c>
      <c r="AC104">
        <v>30</v>
      </c>
      <c r="AD104" t="s">
        <v>43</v>
      </c>
      <c r="AE104" t="s">
        <v>48</v>
      </c>
      <c r="AG104">
        <v>500</v>
      </c>
      <c r="AH104">
        <v>500</v>
      </c>
      <c r="AI104">
        <v>1500</v>
      </c>
      <c r="AJ104">
        <v>1500</v>
      </c>
      <c r="AK104" t="s">
        <v>43</v>
      </c>
      <c r="AL104" t="s">
        <v>49</v>
      </c>
      <c r="AM104" t="s">
        <v>50</v>
      </c>
      <c r="AN104">
        <v>2000</v>
      </c>
      <c r="AO104">
        <v>23</v>
      </c>
      <c r="AP104">
        <v>0.13829118617581199</v>
      </c>
      <c r="AQ104">
        <v>0.95679999999999998</v>
      </c>
      <c r="AR104">
        <v>0.47047616952079202</v>
      </c>
    </row>
    <row r="105" spans="1:44" x14ac:dyDescent="0.2">
      <c r="A105" t="s">
        <v>238</v>
      </c>
      <c r="B105">
        <v>104</v>
      </c>
      <c r="D105" t="s">
        <v>239</v>
      </c>
      <c r="E105" t="s">
        <v>240</v>
      </c>
      <c r="H105" t="s">
        <v>40</v>
      </c>
      <c r="I105">
        <v>34.1</v>
      </c>
      <c r="K105">
        <v>1</v>
      </c>
      <c r="L105" t="s">
        <v>41</v>
      </c>
      <c r="M105">
        <v>15</v>
      </c>
      <c r="N105" t="s">
        <v>42</v>
      </c>
      <c r="O105">
        <v>50</v>
      </c>
      <c r="P105">
        <v>20</v>
      </c>
      <c r="Q105" t="s">
        <v>43</v>
      </c>
      <c r="R105" t="s">
        <v>43</v>
      </c>
      <c r="S105" t="s">
        <v>43</v>
      </c>
      <c r="T105" t="s">
        <v>43</v>
      </c>
      <c r="U105" t="s">
        <v>44</v>
      </c>
      <c r="V105" t="s">
        <v>45</v>
      </c>
      <c r="W105" t="s">
        <v>71</v>
      </c>
      <c r="X105">
        <v>32</v>
      </c>
      <c r="Y105">
        <v>2</v>
      </c>
      <c r="Z105">
        <v>88</v>
      </c>
      <c r="AA105">
        <v>176</v>
      </c>
      <c r="AB105" t="s">
        <v>47</v>
      </c>
      <c r="AC105">
        <v>22</v>
      </c>
      <c r="AD105" t="s">
        <v>43</v>
      </c>
      <c r="AE105" t="s">
        <v>48</v>
      </c>
      <c r="AG105">
        <v>1500</v>
      </c>
      <c r="AH105">
        <v>0</v>
      </c>
      <c r="AI105">
        <v>3000</v>
      </c>
      <c r="AJ105">
        <v>3000</v>
      </c>
      <c r="AK105" t="s">
        <v>43</v>
      </c>
      <c r="AL105" t="s">
        <v>49</v>
      </c>
      <c r="AM105" t="s">
        <v>50</v>
      </c>
      <c r="AO105">
        <v>20</v>
      </c>
      <c r="AP105">
        <v>0.33489676021126302</v>
      </c>
      <c r="AQ105">
        <v>0.95679999999999998</v>
      </c>
      <c r="AR105">
        <v>1.1393419153177899</v>
      </c>
    </row>
    <row r="106" spans="1:44" x14ac:dyDescent="0.2">
      <c r="A106" t="s">
        <v>241</v>
      </c>
      <c r="B106">
        <v>105</v>
      </c>
      <c r="D106" t="s">
        <v>242</v>
      </c>
      <c r="E106" t="s">
        <v>243</v>
      </c>
      <c r="H106" t="s">
        <v>40</v>
      </c>
      <c r="I106">
        <v>36.9</v>
      </c>
      <c r="J106">
        <v>0.83333333333333304</v>
      </c>
      <c r="K106">
        <v>1</v>
      </c>
      <c r="L106" t="s">
        <v>41</v>
      </c>
      <c r="M106">
        <v>15</v>
      </c>
      <c r="N106" t="s">
        <v>42</v>
      </c>
      <c r="O106">
        <v>50</v>
      </c>
      <c r="P106">
        <v>20</v>
      </c>
      <c r="Q106" t="s">
        <v>43</v>
      </c>
      <c r="R106" t="s">
        <v>43</v>
      </c>
      <c r="S106" t="s">
        <v>43</v>
      </c>
      <c r="T106" t="s">
        <v>43</v>
      </c>
      <c r="U106" t="s">
        <v>44</v>
      </c>
      <c r="V106" t="s">
        <v>45</v>
      </c>
      <c r="W106" t="s">
        <v>71</v>
      </c>
      <c r="X106">
        <v>12</v>
      </c>
      <c r="Y106">
        <v>2</v>
      </c>
      <c r="Z106">
        <v>88</v>
      </c>
      <c r="AA106">
        <v>176</v>
      </c>
      <c r="AB106" t="s">
        <v>47</v>
      </c>
      <c r="AC106">
        <v>22</v>
      </c>
      <c r="AD106" t="s">
        <v>43</v>
      </c>
      <c r="AE106" t="s">
        <v>48</v>
      </c>
      <c r="AG106">
        <v>0</v>
      </c>
      <c r="AH106">
        <v>250</v>
      </c>
      <c r="AI106">
        <v>3000</v>
      </c>
      <c r="AJ106">
        <v>3000</v>
      </c>
      <c r="AK106" t="s">
        <v>43</v>
      </c>
      <c r="AL106" t="s">
        <v>49</v>
      </c>
      <c r="AM106" t="s">
        <v>50</v>
      </c>
      <c r="AO106">
        <v>18</v>
      </c>
      <c r="AP106">
        <v>0.15882065356873501</v>
      </c>
      <c r="AQ106">
        <v>0.95679999999999998</v>
      </c>
      <c r="AR106">
        <v>0.54031883591491103</v>
      </c>
    </row>
    <row r="107" spans="1:44" x14ac:dyDescent="0.2">
      <c r="A107" t="s">
        <v>241</v>
      </c>
      <c r="B107">
        <v>106</v>
      </c>
      <c r="D107" t="s">
        <v>244</v>
      </c>
      <c r="E107" t="s">
        <v>245</v>
      </c>
      <c r="H107" t="s">
        <v>40</v>
      </c>
      <c r="I107">
        <v>35.200000000000003</v>
      </c>
      <c r="J107">
        <v>0.83333333333333304</v>
      </c>
      <c r="K107">
        <v>1</v>
      </c>
      <c r="L107" t="s">
        <v>41</v>
      </c>
      <c r="M107">
        <v>15</v>
      </c>
      <c r="N107" t="s">
        <v>42</v>
      </c>
      <c r="O107">
        <v>50</v>
      </c>
      <c r="P107">
        <v>20</v>
      </c>
      <c r="Q107" t="s">
        <v>50</v>
      </c>
      <c r="R107" t="s">
        <v>50</v>
      </c>
      <c r="S107" t="s">
        <v>43</v>
      </c>
      <c r="T107" t="s">
        <v>50</v>
      </c>
      <c r="U107" t="s">
        <v>119</v>
      </c>
      <c r="V107" t="s">
        <v>119</v>
      </c>
      <c r="W107" t="s">
        <v>71</v>
      </c>
      <c r="X107">
        <v>16</v>
      </c>
      <c r="Y107">
        <v>2</v>
      </c>
      <c r="Z107">
        <v>64</v>
      </c>
      <c r="AA107">
        <v>128</v>
      </c>
      <c r="AB107" t="s">
        <v>47</v>
      </c>
      <c r="AC107">
        <v>16</v>
      </c>
      <c r="AD107" t="s">
        <v>43</v>
      </c>
      <c r="AE107" t="s">
        <v>48</v>
      </c>
      <c r="AG107">
        <v>0</v>
      </c>
      <c r="AH107">
        <v>2000</v>
      </c>
      <c r="AI107">
        <v>3000</v>
      </c>
      <c r="AJ107">
        <v>3000</v>
      </c>
      <c r="AK107" t="s">
        <v>43</v>
      </c>
      <c r="AL107" t="s">
        <v>49</v>
      </c>
      <c r="AM107" t="s">
        <v>50</v>
      </c>
      <c r="AO107">
        <v>18</v>
      </c>
      <c r="AP107">
        <v>0.117779454914684</v>
      </c>
      <c r="AQ107">
        <v>0.95679999999999998</v>
      </c>
      <c r="AR107">
        <v>0.40069384267237701</v>
      </c>
    </row>
    <row r="108" spans="1:44" x14ac:dyDescent="0.2">
      <c r="A108" t="s">
        <v>246</v>
      </c>
      <c r="B108">
        <v>107</v>
      </c>
      <c r="D108" t="s">
        <v>247</v>
      </c>
      <c r="E108" t="s">
        <v>248</v>
      </c>
      <c r="H108" t="s">
        <v>40</v>
      </c>
      <c r="J108">
        <v>0.6875</v>
      </c>
      <c r="L108" t="s">
        <v>41</v>
      </c>
      <c r="M108">
        <v>15.2</v>
      </c>
      <c r="N108" t="s">
        <v>42</v>
      </c>
      <c r="O108">
        <v>58</v>
      </c>
      <c r="Q108" t="s">
        <v>50</v>
      </c>
      <c r="R108" t="s">
        <v>50</v>
      </c>
      <c r="S108" t="s">
        <v>50</v>
      </c>
      <c r="T108" t="s">
        <v>43</v>
      </c>
      <c r="U108" t="s">
        <v>44</v>
      </c>
      <c r="V108" t="s">
        <v>45</v>
      </c>
      <c r="W108" t="s">
        <v>46</v>
      </c>
      <c r="X108">
        <v>32</v>
      </c>
      <c r="Y108">
        <v>2</v>
      </c>
      <c r="Z108">
        <v>200</v>
      </c>
      <c r="AA108">
        <v>400</v>
      </c>
      <c r="AB108" t="s">
        <v>120</v>
      </c>
      <c r="AC108">
        <v>1</v>
      </c>
      <c r="AD108" t="s">
        <v>43</v>
      </c>
      <c r="AE108" t="s">
        <v>48</v>
      </c>
      <c r="AF108" t="s">
        <v>54</v>
      </c>
      <c r="AG108">
        <v>1000</v>
      </c>
      <c r="AH108">
        <v>500</v>
      </c>
      <c r="AK108" t="s">
        <v>43</v>
      </c>
      <c r="AL108" t="s">
        <v>49</v>
      </c>
      <c r="AM108" t="s">
        <v>50</v>
      </c>
      <c r="AN108">
        <v>500</v>
      </c>
      <c r="AO108">
        <v>32</v>
      </c>
      <c r="AP108">
        <v>0.16183324751113401</v>
      </c>
      <c r="AQ108">
        <v>0.95679999999999998</v>
      </c>
      <c r="AR108">
        <v>0.55056788863863104</v>
      </c>
    </row>
    <row r="109" spans="1:44" x14ac:dyDescent="0.2">
      <c r="A109" t="s">
        <v>246</v>
      </c>
      <c r="B109">
        <v>108</v>
      </c>
      <c r="D109" t="s">
        <v>249</v>
      </c>
      <c r="E109" t="s">
        <v>250</v>
      </c>
      <c r="H109" t="s">
        <v>40</v>
      </c>
      <c r="J109">
        <v>0.75</v>
      </c>
      <c r="L109" t="s">
        <v>41</v>
      </c>
      <c r="M109">
        <v>15.2</v>
      </c>
      <c r="N109" t="s">
        <v>42</v>
      </c>
      <c r="O109">
        <v>58</v>
      </c>
      <c r="Q109" t="s">
        <v>50</v>
      </c>
      <c r="R109" t="s">
        <v>50</v>
      </c>
      <c r="S109" t="s">
        <v>50</v>
      </c>
      <c r="T109" t="s">
        <v>43</v>
      </c>
      <c r="U109" t="s">
        <v>44</v>
      </c>
      <c r="V109" t="s">
        <v>45</v>
      </c>
      <c r="W109" t="s">
        <v>46</v>
      </c>
      <c r="X109">
        <v>32</v>
      </c>
      <c r="Y109">
        <v>2</v>
      </c>
      <c r="Z109">
        <v>200</v>
      </c>
      <c r="AA109">
        <v>400</v>
      </c>
      <c r="AB109" t="s">
        <v>120</v>
      </c>
      <c r="AC109">
        <v>1</v>
      </c>
      <c r="AD109" t="s">
        <v>43</v>
      </c>
      <c r="AE109" t="s">
        <v>48</v>
      </c>
      <c r="AF109" t="s">
        <v>54</v>
      </c>
      <c r="AG109">
        <v>1000</v>
      </c>
      <c r="AH109">
        <v>500</v>
      </c>
      <c r="AK109" t="s">
        <v>43</v>
      </c>
      <c r="AL109" t="s">
        <v>49</v>
      </c>
      <c r="AM109" t="s">
        <v>50</v>
      </c>
      <c r="AN109">
        <v>500</v>
      </c>
      <c r="AO109">
        <v>32</v>
      </c>
      <c r="AP109">
        <v>0.30396381363576802</v>
      </c>
      <c r="AQ109">
        <v>0.95679999999999998</v>
      </c>
      <c r="AR109">
        <v>1.03410589399732</v>
      </c>
    </row>
    <row r="110" spans="1:44" x14ac:dyDescent="0.2">
      <c r="A110" t="s">
        <v>246</v>
      </c>
      <c r="B110">
        <v>109</v>
      </c>
      <c r="D110" t="s">
        <v>251</v>
      </c>
      <c r="E110" t="s">
        <v>252</v>
      </c>
      <c r="H110" t="s">
        <v>40</v>
      </c>
      <c r="J110">
        <v>0.625</v>
      </c>
      <c r="L110" t="s">
        <v>41</v>
      </c>
      <c r="M110">
        <v>15.2</v>
      </c>
      <c r="N110" t="s">
        <v>42</v>
      </c>
      <c r="O110">
        <v>58</v>
      </c>
      <c r="Q110" t="s">
        <v>50</v>
      </c>
      <c r="R110" t="s">
        <v>50</v>
      </c>
      <c r="S110" t="s">
        <v>50</v>
      </c>
      <c r="T110" t="s">
        <v>43</v>
      </c>
      <c r="U110" t="s">
        <v>44</v>
      </c>
      <c r="V110" t="s">
        <v>45</v>
      </c>
      <c r="W110" t="s">
        <v>46</v>
      </c>
      <c r="X110">
        <v>32</v>
      </c>
      <c r="Y110">
        <v>2</v>
      </c>
      <c r="Z110">
        <v>200</v>
      </c>
      <c r="AA110">
        <v>400</v>
      </c>
      <c r="AB110" t="s">
        <v>120</v>
      </c>
      <c r="AC110">
        <v>1</v>
      </c>
      <c r="AD110" t="s">
        <v>43</v>
      </c>
      <c r="AE110" t="s">
        <v>48</v>
      </c>
      <c r="AF110" t="s">
        <v>54</v>
      </c>
      <c r="AG110">
        <v>1000</v>
      </c>
      <c r="AH110">
        <v>500</v>
      </c>
      <c r="AK110" t="s">
        <v>43</v>
      </c>
      <c r="AL110" t="s">
        <v>49</v>
      </c>
      <c r="AM110" t="s">
        <v>50</v>
      </c>
      <c r="AN110">
        <v>500</v>
      </c>
      <c r="AO110">
        <v>32</v>
      </c>
      <c r="AP110">
        <v>-0.1528234275234</v>
      </c>
      <c r="AQ110">
        <v>0.95679999999999998</v>
      </c>
      <c r="AR110">
        <v>-0.51991585857713596</v>
      </c>
    </row>
    <row r="111" spans="1:44" x14ac:dyDescent="0.2">
      <c r="A111" t="s">
        <v>253</v>
      </c>
      <c r="B111">
        <v>110</v>
      </c>
      <c r="D111" t="s">
        <v>254</v>
      </c>
      <c r="E111" t="s">
        <v>255</v>
      </c>
      <c r="H111" t="s">
        <v>40</v>
      </c>
      <c r="L111" t="s">
        <v>41</v>
      </c>
      <c r="N111" t="s">
        <v>42</v>
      </c>
      <c r="O111">
        <v>50</v>
      </c>
      <c r="Q111" t="s">
        <v>43</v>
      </c>
      <c r="R111" t="s">
        <v>43</v>
      </c>
      <c r="S111" t="s">
        <v>43</v>
      </c>
      <c r="T111" t="s">
        <v>43</v>
      </c>
      <c r="U111" t="s">
        <v>91</v>
      </c>
      <c r="V111" t="s">
        <v>45</v>
      </c>
      <c r="W111" t="s">
        <v>46</v>
      </c>
      <c r="X111">
        <v>60</v>
      </c>
      <c r="Y111">
        <v>1</v>
      </c>
      <c r="Z111">
        <v>352</v>
      </c>
      <c r="AA111">
        <v>352</v>
      </c>
      <c r="AB111" t="s">
        <v>47</v>
      </c>
      <c r="AC111">
        <v>44</v>
      </c>
      <c r="AD111" t="s">
        <v>43</v>
      </c>
      <c r="AE111" t="s">
        <v>153</v>
      </c>
      <c r="AG111">
        <v>0</v>
      </c>
      <c r="AH111">
        <v>3000</v>
      </c>
      <c r="AI111">
        <v>3000</v>
      </c>
      <c r="AJ111">
        <v>3000</v>
      </c>
      <c r="AK111" t="s">
        <v>43</v>
      </c>
      <c r="AL111" t="s">
        <v>49</v>
      </c>
      <c r="AM111" t="s">
        <v>50</v>
      </c>
      <c r="AO111">
        <v>29</v>
      </c>
      <c r="AP111">
        <v>0.121280069147465</v>
      </c>
      <c r="AQ111">
        <v>0.95679999999999998</v>
      </c>
      <c r="AR111">
        <v>0.41260317413992897</v>
      </c>
    </row>
    <row r="112" spans="1:44" x14ac:dyDescent="0.2">
      <c r="A112" t="s">
        <v>253</v>
      </c>
      <c r="B112">
        <v>111</v>
      </c>
      <c r="D112" t="s">
        <v>256</v>
      </c>
      <c r="E112" t="s">
        <v>257</v>
      </c>
      <c r="H112" t="s">
        <v>40</v>
      </c>
      <c r="L112" t="s">
        <v>41</v>
      </c>
      <c r="N112" t="s">
        <v>42</v>
      </c>
      <c r="O112">
        <v>50</v>
      </c>
      <c r="Q112" t="s">
        <v>43</v>
      </c>
      <c r="R112" t="s">
        <v>43</v>
      </c>
      <c r="S112" t="s">
        <v>43</v>
      </c>
      <c r="T112" t="s">
        <v>43</v>
      </c>
      <c r="U112" t="s">
        <v>56</v>
      </c>
      <c r="V112" t="s">
        <v>45</v>
      </c>
      <c r="W112" t="s">
        <v>46</v>
      </c>
      <c r="X112">
        <v>60</v>
      </c>
      <c r="Y112">
        <v>1</v>
      </c>
      <c r="Z112">
        <v>352</v>
      </c>
      <c r="AA112">
        <v>352</v>
      </c>
      <c r="AB112" t="s">
        <v>47</v>
      </c>
      <c r="AC112">
        <v>44</v>
      </c>
      <c r="AD112" t="s">
        <v>43</v>
      </c>
      <c r="AE112" t="s">
        <v>153</v>
      </c>
      <c r="AG112">
        <v>0</v>
      </c>
      <c r="AH112">
        <v>3000</v>
      </c>
      <c r="AI112">
        <v>3000</v>
      </c>
      <c r="AJ112">
        <v>3000</v>
      </c>
      <c r="AK112" t="s">
        <v>43</v>
      </c>
      <c r="AL112" t="s">
        <v>49</v>
      </c>
      <c r="AM112" t="s">
        <v>50</v>
      </c>
      <c r="AO112">
        <v>29</v>
      </c>
      <c r="AP112">
        <v>2.9896372747346401E-2</v>
      </c>
      <c r="AQ112">
        <v>0.95679999999999998</v>
      </c>
      <c r="AR112">
        <v>0.101709525543122</v>
      </c>
    </row>
    <row r="113" spans="1:56" x14ac:dyDescent="0.2">
      <c r="A113" t="s">
        <v>258</v>
      </c>
      <c r="B113">
        <v>112</v>
      </c>
      <c r="D113" t="s">
        <v>259</v>
      </c>
      <c r="E113" t="s">
        <v>260</v>
      </c>
      <c r="H113" t="s">
        <v>40</v>
      </c>
      <c r="I113">
        <v>21</v>
      </c>
      <c r="J113">
        <v>0.15625</v>
      </c>
      <c r="K113">
        <v>0.90625</v>
      </c>
      <c r="L113" t="s">
        <v>41</v>
      </c>
      <c r="M113">
        <v>15.2</v>
      </c>
      <c r="N113" t="s">
        <v>42</v>
      </c>
      <c r="O113">
        <v>57</v>
      </c>
      <c r="Q113" t="s">
        <v>50</v>
      </c>
      <c r="R113" t="s">
        <v>50</v>
      </c>
      <c r="S113" t="s">
        <v>43</v>
      </c>
      <c r="T113" t="s">
        <v>50</v>
      </c>
      <c r="U113" t="s">
        <v>91</v>
      </c>
      <c r="V113" t="s">
        <v>45</v>
      </c>
      <c r="W113" t="s">
        <v>46</v>
      </c>
      <c r="X113">
        <v>16</v>
      </c>
      <c r="Y113">
        <v>1</v>
      </c>
      <c r="Z113">
        <v>128</v>
      </c>
      <c r="AA113">
        <v>128</v>
      </c>
      <c r="AB113" t="s">
        <v>47</v>
      </c>
      <c r="AC113">
        <v>2</v>
      </c>
      <c r="AD113" t="s">
        <v>43</v>
      </c>
      <c r="AE113" t="s">
        <v>48</v>
      </c>
      <c r="AG113">
        <v>1000</v>
      </c>
      <c r="AH113">
        <v>0</v>
      </c>
      <c r="AI113">
        <v>1000</v>
      </c>
      <c r="AJ113">
        <v>1000</v>
      </c>
      <c r="AK113" t="s">
        <v>43</v>
      </c>
      <c r="AL113" t="s">
        <v>49</v>
      </c>
      <c r="AM113" t="s">
        <v>50</v>
      </c>
      <c r="AN113">
        <v>1000</v>
      </c>
      <c r="AO113">
        <v>16</v>
      </c>
      <c r="AP113">
        <v>0.35261168443487501</v>
      </c>
      <c r="AQ113">
        <v>0.95679999999999998</v>
      </c>
      <c r="AR113">
        <v>1.19960931140101</v>
      </c>
    </row>
    <row r="114" spans="1:56" x14ac:dyDescent="0.2">
      <c r="A114" t="s">
        <v>258</v>
      </c>
      <c r="B114">
        <v>113</v>
      </c>
      <c r="D114" t="s">
        <v>261</v>
      </c>
      <c r="E114" t="s">
        <v>262</v>
      </c>
      <c r="H114" t="s">
        <v>40</v>
      </c>
      <c r="I114">
        <v>21</v>
      </c>
      <c r="J114">
        <v>0.15625</v>
      </c>
      <c r="K114">
        <v>0.90625</v>
      </c>
      <c r="L114" t="s">
        <v>41</v>
      </c>
      <c r="M114">
        <v>15.2</v>
      </c>
      <c r="N114" t="s">
        <v>42</v>
      </c>
      <c r="O114">
        <v>57</v>
      </c>
      <c r="Q114" t="s">
        <v>50</v>
      </c>
      <c r="R114" t="s">
        <v>50</v>
      </c>
      <c r="S114" t="s">
        <v>43</v>
      </c>
      <c r="T114" t="s">
        <v>50</v>
      </c>
      <c r="U114" t="s">
        <v>56</v>
      </c>
      <c r="V114" t="s">
        <v>45</v>
      </c>
      <c r="W114" t="s">
        <v>46</v>
      </c>
      <c r="X114">
        <v>16</v>
      </c>
      <c r="Y114">
        <v>1</v>
      </c>
      <c r="Z114">
        <v>128</v>
      </c>
      <c r="AA114">
        <v>128</v>
      </c>
      <c r="AB114" t="s">
        <v>47</v>
      </c>
      <c r="AC114">
        <v>2</v>
      </c>
      <c r="AD114" t="s">
        <v>43</v>
      </c>
      <c r="AE114" t="s">
        <v>48</v>
      </c>
      <c r="AG114">
        <v>1000</v>
      </c>
      <c r="AH114">
        <v>0</v>
      </c>
      <c r="AI114">
        <v>1000</v>
      </c>
      <c r="AJ114">
        <v>1000</v>
      </c>
      <c r="AK114" t="s">
        <v>43</v>
      </c>
      <c r="AL114" t="s">
        <v>49</v>
      </c>
      <c r="AM114" t="s">
        <v>50</v>
      </c>
      <c r="AN114">
        <v>1000</v>
      </c>
      <c r="AO114">
        <v>16</v>
      </c>
      <c r="AP114">
        <v>-2.03911745615597E-2</v>
      </c>
      <c r="AQ114">
        <v>0.95679999999999998</v>
      </c>
      <c r="AR114">
        <v>-6.9372184627557995E-2</v>
      </c>
    </row>
    <row r="115" spans="1:56" x14ac:dyDescent="0.2">
      <c r="A115" t="s">
        <v>263</v>
      </c>
      <c r="B115">
        <v>114</v>
      </c>
      <c r="D115" t="s">
        <v>264</v>
      </c>
      <c r="E115" t="s">
        <v>265</v>
      </c>
      <c r="G115" t="s">
        <v>313</v>
      </c>
      <c r="H115" t="s">
        <v>40</v>
      </c>
      <c r="K115">
        <v>1</v>
      </c>
      <c r="L115" t="s">
        <v>70</v>
      </c>
      <c r="M115">
        <v>2.5</v>
      </c>
      <c r="N115" t="s">
        <v>42</v>
      </c>
      <c r="O115">
        <v>45</v>
      </c>
      <c r="P115">
        <v>15</v>
      </c>
      <c r="Q115" t="s">
        <v>50</v>
      </c>
      <c r="R115" t="s">
        <v>50</v>
      </c>
      <c r="S115" t="s">
        <v>43</v>
      </c>
      <c r="T115" t="s">
        <v>50</v>
      </c>
      <c r="U115" t="s">
        <v>44</v>
      </c>
      <c r="V115" t="s">
        <v>45</v>
      </c>
      <c r="W115" t="s">
        <v>71</v>
      </c>
      <c r="X115">
        <v>40</v>
      </c>
      <c r="Y115">
        <v>2</v>
      </c>
      <c r="Z115">
        <v>80</v>
      </c>
      <c r="AA115">
        <v>160</v>
      </c>
      <c r="AB115" t="s">
        <v>47</v>
      </c>
      <c r="AC115">
        <v>20</v>
      </c>
      <c r="AD115" t="s">
        <v>43</v>
      </c>
      <c r="AE115" t="s">
        <v>48</v>
      </c>
      <c r="AG115">
        <v>0</v>
      </c>
      <c r="AH115">
        <v>4000</v>
      </c>
      <c r="AI115">
        <v>3000</v>
      </c>
      <c r="AJ115">
        <v>3000</v>
      </c>
      <c r="AK115" t="s">
        <v>43</v>
      </c>
      <c r="AL115" t="s">
        <v>49</v>
      </c>
      <c r="AM115" t="s">
        <v>50</v>
      </c>
      <c r="AO115">
        <v>27</v>
      </c>
      <c r="AP115">
        <v>6.1188234163113399E-2</v>
      </c>
      <c r="AQ115">
        <v>0.95679999999999998</v>
      </c>
      <c r="AR115">
        <v>0.20816659994661299</v>
      </c>
      <c r="AT115">
        <v>1.17</v>
      </c>
      <c r="BD115" t="s">
        <v>311</v>
      </c>
    </row>
    <row r="116" spans="1:56" x14ac:dyDescent="0.2">
      <c r="A116" t="s">
        <v>263</v>
      </c>
      <c r="B116">
        <v>115</v>
      </c>
      <c r="D116" t="s">
        <v>266</v>
      </c>
      <c r="E116" t="s">
        <v>267</v>
      </c>
      <c r="G116" t="s">
        <v>312</v>
      </c>
      <c r="H116" t="s">
        <v>40</v>
      </c>
      <c r="K116">
        <v>0.93333333333333302</v>
      </c>
      <c r="L116" t="s">
        <v>41</v>
      </c>
      <c r="M116">
        <v>15</v>
      </c>
      <c r="N116" t="s">
        <v>42</v>
      </c>
      <c r="O116">
        <v>45</v>
      </c>
      <c r="P116">
        <v>15</v>
      </c>
      <c r="Q116" t="s">
        <v>50</v>
      </c>
      <c r="R116" t="s">
        <v>50</v>
      </c>
      <c r="S116" t="s">
        <v>43</v>
      </c>
      <c r="T116" t="s">
        <v>50</v>
      </c>
      <c r="U116" t="s">
        <v>44</v>
      </c>
      <c r="V116" t="s">
        <v>45</v>
      </c>
      <c r="W116" t="s">
        <v>71</v>
      </c>
      <c r="X116">
        <v>40</v>
      </c>
      <c r="Y116">
        <v>2</v>
      </c>
      <c r="Z116">
        <v>88</v>
      </c>
      <c r="AA116">
        <v>176</v>
      </c>
      <c r="AB116" t="s">
        <v>47</v>
      </c>
      <c r="AC116">
        <v>22</v>
      </c>
      <c r="AD116" t="s">
        <v>43</v>
      </c>
      <c r="AE116" t="s">
        <v>48</v>
      </c>
      <c r="AG116">
        <v>0</v>
      </c>
      <c r="AH116">
        <v>4000</v>
      </c>
      <c r="AI116">
        <v>3000</v>
      </c>
      <c r="AJ116">
        <v>3000</v>
      </c>
      <c r="AK116" t="s">
        <v>43</v>
      </c>
      <c r="AL116" t="s">
        <v>49</v>
      </c>
      <c r="AM116" t="s">
        <v>50</v>
      </c>
      <c r="AO116">
        <v>28</v>
      </c>
      <c r="AP116">
        <v>0.19122163655223301</v>
      </c>
      <c r="AQ116">
        <v>0.95679999999999998</v>
      </c>
      <c r="AR116">
        <v>0.65054921851792702</v>
      </c>
      <c r="AT116">
        <v>11.85</v>
      </c>
      <c r="BD116" t="s">
        <v>311</v>
      </c>
    </row>
    <row r="117" spans="1:56" x14ac:dyDescent="0.2">
      <c r="A117" t="s">
        <v>268</v>
      </c>
      <c r="B117">
        <v>116</v>
      </c>
      <c r="D117" t="s">
        <v>269</v>
      </c>
      <c r="E117" t="s">
        <v>270</v>
      </c>
      <c r="H117" t="s">
        <v>40</v>
      </c>
      <c r="I117">
        <v>26</v>
      </c>
      <c r="J117">
        <v>0.33300000000000002</v>
      </c>
      <c r="K117">
        <v>1</v>
      </c>
      <c r="L117" t="s">
        <v>41</v>
      </c>
      <c r="N117" t="s">
        <v>42</v>
      </c>
      <c r="Q117" t="s">
        <v>50</v>
      </c>
      <c r="R117" t="s">
        <v>50</v>
      </c>
      <c r="S117" t="s">
        <v>43</v>
      </c>
      <c r="T117" t="s">
        <v>43</v>
      </c>
      <c r="U117" t="s">
        <v>44</v>
      </c>
      <c r="V117" t="s">
        <v>45</v>
      </c>
      <c r="W117" t="s">
        <v>46</v>
      </c>
      <c r="AB117" t="s">
        <v>47</v>
      </c>
      <c r="AC117">
        <v>18</v>
      </c>
      <c r="AD117" t="s">
        <v>43</v>
      </c>
      <c r="AE117" t="s">
        <v>153</v>
      </c>
      <c r="AG117">
        <v>500</v>
      </c>
      <c r="AH117">
        <v>0</v>
      </c>
      <c r="AI117">
        <v>100</v>
      </c>
      <c r="AJ117">
        <v>2000</v>
      </c>
      <c r="AK117" t="s">
        <v>50</v>
      </c>
      <c r="AL117" t="s">
        <v>126</v>
      </c>
      <c r="AM117" t="s">
        <v>43</v>
      </c>
      <c r="AN117">
        <v>0</v>
      </c>
      <c r="AO117">
        <v>36</v>
      </c>
      <c r="AP117">
        <v>0.24390576135185699</v>
      </c>
      <c r="AQ117">
        <v>0.95679999999999998</v>
      </c>
      <c r="AR117">
        <v>0.82978425088485597</v>
      </c>
    </row>
    <row r="118" spans="1:56" x14ac:dyDescent="0.2">
      <c r="A118" t="s">
        <v>268</v>
      </c>
      <c r="B118">
        <v>117</v>
      </c>
      <c r="D118" t="s">
        <v>269</v>
      </c>
      <c r="E118" t="s">
        <v>271</v>
      </c>
      <c r="H118" t="s">
        <v>40</v>
      </c>
      <c r="I118">
        <v>26</v>
      </c>
      <c r="J118">
        <v>0.33300000000000002</v>
      </c>
      <c r="K118">
        <v>1</v>
      </c>
      <c r="L118" t="s">
        <v>41</v>
      </c>
      <c r="N118" t="s">
        <v>122</v>
      </c>
      <c r="Q118" t="s">
        <v>50</v>
      </c>
      <c r="R118" t="s">
        <v>50</v>
      </c>
      <c r="S118" t="s">
        <v>43</v>
      </c>
      <c r="T118" t="s">
        <v>43</v>
      </c>
      <c r="U118" t="s">
        <v>44</v>
      </c>
      <c r="V118" t="s">
        <v>45</v>
      </c>
      <c r="W118" t="s">
        <v>46</v>
      </c>
      <c r="AB118" t="s">
        <v>47</v>
      </c>
      <c r="AC118">
        <v>18</v>
      </c>
      <c r="AD118" t="s">
        <v>43</v>
      </c>
      <c r="AE118" t="s">
        <v>153</v>
      </c>
      <c r="AG118">
        <v>500</v>
      </c>
      <c r="AH118">
        <v>0</v>
      </c>
      <c r="AI118">
        <v>100</v>
      </c>
      <c r="AJ118">
        <v>2000</v>
      </c>
      <c r="AK118" t="s">
        <v>50</v>
      </c>
      <c r="AL118" t="s">
        <v>126</v>
      </c>
      <c r="AM118" t="s">
        <v>43</v>
      </c>
      <c r="AN118">
        <v>0</v>
      </c>
      <c r="AO118">
        <v>36</v>
      </c>
      <c r="AP118">
        <v>0.10440517457095901</v>
      </c>
      <c r="AQ118">
        <v>0.95679999999999998</v>
      </c>
      <c r="AR118">
        <v>0.35519361695145901</v>
      </c>
    </row>
    <row r="119" spans="1:56" x14ac:dyDescent="0.2">
      <c r="A119" t="s">
        <v>272</v>
      </c>
      <c r="B119">
        <v>118</v>
      </c>
      <c r="D119" t="s">
        <v>273</v>
      </c>
      <c r="E119" t="s">
        <v>274</v>
      </c>
      <c r="H119" t="s">
        <v>40</v>
      </c>
      <c r="I119">
        <v>19.8</v>
      </c>
      <c r="J119">
        <v>0.16666666666666699</v>
      </c>
      <c r="K119">
        <v>0.86666666666666703</v>
      </c>
      <c r="L119" t="s">
        <v>41</v>
      </c>
      <c r="M119">
        <v>17.100000000000001</v>
      </c>
      <c r="N119" t="s">
        <v>42</v>
      </c>
      <c r="O119">
        <v>45</v>
      </c>
      <c r="Q119" t="s">
        <v>43</v>
      </c>
      <c r="R119" t="s">
        <v>43</v>
      </c>
      <c r="S119" t="s">
        <v>43</v>
      </c>
      <c r="T119" t="s">
        <v>43</v>
      </c>
      <c r="U119" t="s">
        <v>91</v>
      </c>
      <c r="V119" t="s">
        <v>45</v>
      </c>
      <c r="W119" t="s">
        <v>46</v>
      </c>
      <c r="X119">
        <v>0</v>
      </c>
      <c r="Y119">
        <v>4</v>
      </c>
      <c r="Z119">
        <v>112</v>
      </c>
      <c r="AA119">
        <v>448</v>
      </c>
      <c r="AB119" t="s">
        <v>47</v>
      </c>
      <c r="AC119">
        <v>56</v>
      </c>
      <c r="AD119" t="s">
        <v>43</v>
      </c>
      <c r="AE119" t="s">
        <v>48</v>
      </c>
      <c r="AG119">
        <v>500</v>
      </c>
      <c r="AH119">
        <v>0</v>
      </c>
      <c r="AK119" t="s">
        <v>43</v>
      </c>
      <c r="AL119" t="s">
        <v>49</v>
      </c>
      <c r="AM119" t="s">
        <v>50</v>
      </c>
      <c r="AN119">
        <v>5000</v>
      </c>
      <c r="AO119">
        <v>30</v>
      </c>
      <c r="AP119">
        <v>-0.118064389211989</v>
      </c>
      <c r="AQ119">
        <v>0.95679999999999998</v>
      </c>
      <c r="AR119">
        <v>-0.40166320883712198</v>
      </c>
    </row>
    <row r="120" spans="1:56" x14ac:dyDescent="0.2">
      <c r="A120" t="s">
        <v>272</v>
      </c>
      <c r="B120">
        <v>119</v>
      </c>
      <c r="D120" t="s">
        <v>275</v>
      </c>
      <c r="E120" t="s">
        <v>276</v>
      </c>
      <c r="H120" t="s">
        <v>40</v>
      </c>
      <c r="I120">
        <v>19.100000000000001</v>
      </c>
      <c r="J120">
        <v>0.43333333333333302</v>
      </c>
      <c r="K120">
        <v>0.9</v>
      </c>
      <c r="L120" t="s">
        <v>41</v>
      </c>
      <c r="N120" t="s">
        <v>42</v>
      </c>
      <c r="O120">
        <v>45</v>
      </c>
      <c r="P120">
        <v>0</v>
      </c>
      <c r="Q120" t="s">
        <v>43</v>
      </c>
      <c r="R120" t="s">
        <v>43</v>
      </c>
      <c r="S120" t="s">
        <v>43</v>
      </c>
      <c r="T120" t="s">
        <v>43</v>
      </c>
      <c r="U120" t="s">
        <v>91</v>
      </c>
      <c r="V120" t="s">
        <v>45</v>
      </c>
      <c r="W120" t="s">
        <v>46</v>
      </c>
      <c r="X120">
        <v>0</v>
      </c>
      <c r="Y120">
        <v>4</v>
      </c>
      <c r="Z120">
        <v>112</v>
      </c>
      <c r="AA120">
        <v>448</v>
      </c>
      <c r="AB120" t="s">
        <v>47</v>
      </c>
      <c r="AC120">
        <v>56</v>
      </c>
      <c r="AD120" t="s">
        <v>43</v>
      </c>
      <c r="AE120" t="s">
        <v>48</v>
      </c>
      <c r="AG120">
        <v>500</v>
      </c>
      <c r="AH120">
        <v>0</v>
      </c>
      <c r="AK120" t="s">
        <v>43</v>
      </c>
      <c r="AL120" t="s">
        <v>49</v>
      </c>
      <c r="AM120" t="s">
        <v>50</v>
      </c>
      <c r="AN120">
        <v>5000</v>
      </c>
      <c r="AO120">
        <v>30</v>
      </c>
      <c r="AP120">
        <v>-0.15563033123398501</v>
      </c>
      <c r="AQ120">
        <v>0.95679999999999998</v>
      </c>
      <c r="AR120">
        <v>-0.52946513892166103</v>
      </c>
    </row>
    <row r="121" spans="1:56" x14ac:dyDescent="0.2">
      <c r="A121" t="s">
        <v>272</v>
      </c>
      <c r="B121">
        <v>120</v>
      </c>
      <c r="D121" t="s">
        <v>277</v>
      </c>
      <c r="E121" t="s">
        <v>278</v>
      </c>
      <c r="H121" t="s">
        <v>40</v>
      </c>
      <c r="J121">
        <v>0.56666666666666698</v>
      </c>
      <c r="K121">
        <v>0.96666666666666701</v>
      </c>
      <c r="L121" t="s">
        <v>41</v>
      </c>
      <c r="N121" t="s">
        <v>42</v>
      </c>
      <c r="O121">
        <v>45</v>
      </c>
      <c r="P121">
        <v>30</v>
      </c>
      <c r="Q121" t="s">
        <v>50</v>
      </c>
      <c r="R121" t="s">
        <v>43</v>
      </c>
      <c r="S121" t="s">
        <v>43</v>
      </c>
      <c r="T121" t="s">
        <v>43</v>
      </c>
      <c r="U121" t="s">
        <v>44</v>
      </c>
      <c r="V121" t="s">
        <v>45</v>
      </c>
      <c r="W121" t="s">
        <v>46</v>
      </c>
      <c r="X121">
        <v>0</v>
      </c>
      <c r="Y121">
        <v>4</v>
      </c>
      <c r="Z121">
        <v>88</v>
      </c>
      <c r="AA121">
        <v>352</v>
      </c>
      <c r="AB121" t="s">
        <v>47</v>
      </c>
      <c r="AC121">
        <v>22</v>
      </c>
      <c r="AD121" t="s">
        <v>43</v>
      </c>
      <c r="AE121" t="s">
        <v>48</v>
      </c>
      <c r="AG121">
        <v>0</v>
      </c>
      <c r="AH121">
        <v>0</v>
      </c>
      <c r="AK121" t="s">
        <v>43</v>
      </c>
      <c r="AL121" t="s">
        <v>49</v>
      </c>
      <c r="AM121" t="s">
        <v>50</v>
      </c>
      <c r="AN121">
        <v>5000</v>
      </c>
      <c r="AO121">
        <v>30</v>
      </c>
      <c r="AP121">
        <v>-3.5955973078196597E-2</v>
      </c>
      <c r="AQ121">
        <v>0.95679999999999998</v>
      </c>
      <c r="AR121">
        <v>-0.122324704509487</v>
      </c>
    </row>
    <row r="122" spans="1:56" x14ac:dyDescent="0.2">
      <c r="A122" t="s">
        <v>272</v>
      </c>
      <c r="B122">
        <v>121</v>
      </c>
      <c r="D122" t="s">
        <v>279</v>
      </c>
      <c r="E122" t="s">
        <v>280</v>
      </c>
      <c r="H122" t="s">
        <v>40</v>
      </c>
      <c r="J122">
        <v>0.46666666666666701</v>
      </c>
      <c r="K122">
        <v>0.96666666666666701</v>
      </c>
      <c r="L122" t="s">
        <v>41</v>
      </c>
      <c r="N122" t="s">
        <v>42</v>
      </c>
      <c r="O122">
        <v>45</v>
      </c>
      <c r="P122">
        <v>30</v>
      </c>
      <c r="Q122" t="s">
        <v>50</v>
      </c>
      <c r="R122" t="s">
        <v>43</v>
      </c>
      <c r="S122" t="s">
        <v>43</v>
      </c>
      <c r="T122" t="s">
        <v>50</v>
      </c>
      <c r="U122" t="s">
        <v>44</v>
      </c>
      <c r="V122" t="s">
        <v>45</v>
      </c>
      <c r="W122" t="s">
        <v>46</v>
      </c>
      <c r="X122">
        <v>0</v>
      </c>
      <c r="Y122">
        <v>4</v>
      </c>
      <c r="Z122">
        <v>88</v>
      </c>
      <c r="AA122">
        <v>352</v>
      </c>
      <c r="AB122" t="s">
        <v>47</v>
      </c>
      <c r="AC122">
        <v>22</v>
      </c>
      <c r="AD122" t="s">
        <v>43</v>
      </c>
      <c r="AE122" t="s">
        <v>48</v>
      </c>
      <c r="AG122">
        <v>0</v>
      </c>
      <c r="AH122">
        <v>0</v>
      </c>
      <c r="AK122" t="s">
        <v>43</v>
      </c>
      <c r="AL122" t="s">
        <v>49</v>
      </c>
      <c r="AM122" t="s">
        <v>50</v>
      </c>
      <c r="AN122">
        <v>5000</v>
      </c>
      <c r="AO122">
        <v>30</v>
      </c>
      <c r="AP122">
        <v>0.20392939954798101</v>
      </c>
      <c r="AQ122">
        <v>0.95679999999999998</v>
      </c>
      <c r="AR122">
        <v>0.69378190617321001</v>
      </c>
    </row>
    <row r="123" spans="1:56" x14ac:dyDescent="0.2">
      <c r="A123" t="s">
        <v>281</v>
      </c>
      <c r="B123">
        <v>122</v>
      </c>
      <c r="D123" t="s">
        <v>282</v>
      </c>
      <c r="E123" t="s">
        <v>283</v>
      </c>
      <c r="G123" t="s">
        <v>310</v>
      </c>
      <c r="H123" t="s">
        <v>40</v>
      </c>
      <c r="J123">
        <v>0.42857142857142899</v>
      </c>
      <c r="K123">
        <v>1</v>
      </c>
      <c r="L123" t="s">
        <v>41</v>
      </c>
      <c r="N123" t="s">
        <v>42</v>
      </c>
      <c r="O123">
        <v>60</v>
      </c>
      <c r="Q123" t="s">
        <v>50</v>
      </c>
      <c r="R123" t="s">
        <v>50</v>
      </c>
      <c r="S123" t="s">
        <v>43</v>
      </c>
      <c r="T123" t="s">
        <v>43</v>
      </c>
      <c r="U123" t="s">
        <v>119</v>
      </c>
      <c r="V123" t="s">
        <v>119</v>
      </c>
      <c r="W123" t="s">
        <v>46</v>
      </c>
      <c r="X123">
        <v>24</v>
      </c>
      <c r="Y123">
        <v>6</v>
      </c>
      <c r="Z123">
        <v>72</v>
      </c>
      <c r="AA123">
        <v>432</v>
      </c>
      <c r="AB123" t="s">
        <v>47</v>
      </c>
      <c r="AC123">
        <v>8</v>
      </c>
      <c r="AD123" t="s">
        <v>43</v>
      </c>
      <c r="AE123" t="s">
        <v>48</v>
      </c>
      <c r="AG123">
        <v>500</v>
      </c>
      <c r="AH123">
        <v>0</v>
      </c>
      <c r="AI123">
        <v>2000</v>
      </c>
      <c r="AJ123">
        <v>2000</v>
      </c>
      <c r="AK123" t="s">
        <v>43</v>
      </c>
      <c r="AL123" t="s">
        <v>49</v>
      </c>
      <c r="AM123" t="s">
        <v>43</v>
      </c>
      <c r="AN123">
        <v>0</v>
      </c>
      <c r="AO123">
        <v>28</v>
      </c>
      <c r="AP123">
        <v>0.45288787637938399</v>
      </c>
      <c r="AQ123">
        <v>0.95679999999999998</v>
      </c>
      <c r="AR123">
        <v>1.54075584419744</v>
      </c>
      <c r="AT123">
        <v>66.47</v>
      </c>
      <c r="BD123" t="s">
        <v>311</v>
      </c>
    </row>
    <row r="124" spans="1:56" x14ac:dyDescent="0.2">
      <c r="A124" t="s">
        <v>284</v>
      </c>
      <c r="B124">
        <v>123</v>
      </c>
      <c r="D124" t="s">
        <v>285</v>
      </c>
      <c r="E124" t="s">
        <v>286</v>
      </c>
      <c r="G124" t="s">
        <v>309</v>
      </c>
      <c r="H124" t="s">
        <v>40</v>
      </c>
      <c r="I124">
        <v>25</v>
      </c>
      <c r="J124">
        <v>0.46666666666666701</v>
      </c>
      <c r="K124">
        <v>1</v>
      </c>
      <c r="L124" t="s">
        <v>41</v>
      </c>
      <c r="M124">
        <v>15.2</v>
      </c>
      <c r="N124" t="s">
        <v>42</v>
      </c>
      <c r="O124">
        <v>50</v>
      </c>
      <c r="Q124" t="s">
        <v>50</v>
      </c>
      <c r="R124" t="s">
        <v>50</v>
      </c>
      <c r="S124" t="s">
        <v>43</v>
      </c>
      <c r="T124" t="s">
        <v>43</v>
      </c>
      <c r="U124" t="s">
        <v>119</v>
      </c>
      <c r="V124" t="s">
        <v>119</v>
      </c>
      <c r="W124" t="s">
        <v>46</v>
      </c>
      <c r="X124">
        <v>24</v>
      </c>
      <c r="Y124">
        <v>6</v>
      </c>
      <c r="Z124">
        <v>64</v>
      </c>
      <c r="AA124">
        <v>384</v>
      </c>
      <c r="AB124" t="s">
        <v>47</v>
      </c>
      <c r="AD124" t="s">
        <v>43</v>
      </c>
      <c r="AE124" t="s">
        <v>48</v>
      </c>
      <c r="AG124">
        <v>1000</v>
      </c>
      <c r="AH124">
        <v>0</v>
      </c>
      <c r="AI124">
        <v>2000</v>
      </c>
      <c r="AJ124">
        <v>1400</v>
      </c>
      <c r="AK124" t="s">
        <v>43</v>
      </c>
      <c r="AL124" t="s">
        <v>49</v>
      </c>
      <c r="AM124" t="s">
        <v>43</v>
      </c>
      <c r="AN124">
        <v>0</v>
      </c>
      <c r="AO124">
        <v>30</v>
      </c>
      <c r="AP124">
        <v>0.25529277310570297</v>
      </c>
      <c r="AQ124">
        <v>0.95679999999999998</v>
      </c>
      <c r="AR124">
        <v>0.86852365156818501</v>
      </c>
      <c r="AT124">
        <v>22.63</v>
      </c>
      <c r="BD124" t="s">
        <v>311</v>
      </c>
    </row>
    <row r="126" spans="1:56" x14ac:dyDescent="0.2">
      <c r="G126">
        <f>COUNTIF(G2:G124,"")</f>
        <v>87</v>
      </c>
    </row>
  </sheetData>
  <phoneticPr fontId="2" type="noConversion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shaheedazaad</dc:creator>
  <cp:lastModifiedBy>Shaheed Azaad</cp:lastModifiedBy>
  <dcterms:created xsi:type="dcterms:W3CDTF">2026-08-14T22:08:08Z</dcterms:created>
  <dcterms:modified xsi:type="dcterms:W3CDTF">2026-08-18T21:29:40Z</dcterms:modified>
</cp:coreProperties>
</file>